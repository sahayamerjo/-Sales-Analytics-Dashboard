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actice\Sales\"/>
    </mc:Choice>
  </mc:AlternateContent>
  <bookViews>
    <workbookView xWindow="0" yWindow="0" windowWidth="23040" windowHeight="9072" activeTab="2"/>
  </bookViews>
  <sheets>
    <sheet name="Sheet1" sheetId="6" r:id="rId1"/>
    <sheet name="Pivot Table" sheetId="4" r:id="rId2"/>
    <sheet name="Dashboard" sheetId="5" r:id="rId3"/>
    <sheet name="SalesData" sheetId="3" r:id="rId4"/>
  </sheets>
  <definedNames>
    <definedName name="Slicer_Product">#N/A</definedName>
    <definedName name="Slicer_Region">#N/A</definedName>
    <definedName name="Slicer_Sales_Pers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3" l="1"/>
  <c r="K6" i="3"/>
  <c r="K4" i="3"/>
  <c r="K2" i="3"/>
  <c r="H3" i="3"/>
  <c r="H4" i="3"/>
  <c r="H5" i="3"/>
  <c r="H6" i="3"/>
  <c r="H7" i="3"/>
  <c r="H8" i="3"/>
  <c r="H9" i="3"/>
  <c r="I9" i="3" s="1"/>
  <c r="H10" i="3"/>
  <c r="I10" i="3" s="1"/>
  <c r="H11" i="3"/>
  <c r="H12" i="3"/>
  <c r="H13" i="3"/>
  <c r="H14" i="3"/>
  <c r="H15" i="3"/>
  <c r="H16" i="3"/>
  <c r="H17" i="3"/>
  <c r="H18" i="3"/>
  <c r="I18" i="3" s="1"/>
  <c r="H19" i="3"/>
  <c r="I19" i="3" s="1"/>
  <c r="H20" i="3"/>
  <c r="H21" i="3"/>
  <c r="H22" i="3"/>
  <c r="H23" i="3"/>
  <c r="H24" i="3"/>
  <c r="H25" i="3"/>
  <c r="H26" i="3"/>
  <c r="I26" i="3" s="1"/>
  <c r="H27" i="3"/>
  <c r="I27" i="3" s="1"/>
  <c r="H28" i="3"/>
  <c r="H29" i="3"/>
  <c r="H30" i="3"/>
  <c r="H31" i="3"/>
  <c r="H32" i="3"/>
  <c r="H33" i="3"/>
  <c r="H34" i="3"/>
  <c r="I34" i="3" s="1"/>
  <c r="H35" i="3"/>
  <c r="I35" i="3" s="1"/>
  <c r="H36" i="3"/>
  <c r="H37" i="3"/>
  <c r="H38" i="3"/>
  <c r="H39" i="3"/>
  <c r="H40" i="3"/>
  <c r="H41" i="3"/>
  <c r="H42" i="3"/>
  <c r="I42" i="3" s="1"/>
  <c r="H43" i="3"/>
  <c r="I43" i="3" s="1"/>
  <c r="H44" i="3"/>
  <c r="H45" i="3"/>
  <c r="H46" i="3"/>
  <c r="H47" i="3"/>
  <c r="H48" i="3"/>
  <c r="H49" i="3"/>
  <c r="H50" i="3"/>
  <c r="I50" i="3" s="1"/>
  <c r="H51" i="3"/>
  <c r="I51" i="3" s="1"/>
  <c r="I3" i="3"/>
  <c r="I4" i="3"/>
  <c r="I5" i="3"/>
  <c r="I6" i="3"/>
  <c r="I7" i="3"/>
  <c r="I8" i="3"/>
  <c r="I11" i="3"/>
  <c r="I12" i="3"/>
  <c r="I13" i="3"/>
  <c r="I14" i="3"/>
  <c r="I15" i="3"/>
  <c r="I16" i="3"/>
  <c r="I17" i="3"/>
  <c r="I20" i="3"/>
  <c r="I21" i="3"/>
  <c r="I22" i="3"/>
  <c r="I23" i="3"/>
  <c r="I24" i="3"/>
  <c r="I25" i="3"/>
  <c r="I28" i="3"/>
  <c r="I29" i="3"/>
  <c r="I30" i="3"/>
  <c r="I31" i="3"/>
  <c r="I32" i="3"/>
  <c r="I33" i="3"/>
  <c r="I36" i="3"/>
  <c r="I37" i="3"/>
  <c r="I38" i="3"/>
  <c r="I39" i="3"/>
  <c r="I40" i="3"/>
  <c r="I41" i="3"/>
  <c r="I44" i="3"/>
  <c r="I45" i="3"/>
  <c r="I46" i="3"/>
  <c r="I47" i="3"/>
  <c r="I48" i="3"/>
  <c r="I49" i="3"/>
  <c r="I2" i="3"/>
  <c r="G51" i="3" l="1"/>
  <c r="F51" i="3"/>
  <c r="G50" i="3"/>
  <c r="F50" i="3"/>
  <c r="G49" i="3"/>
  <c r="F49" i="3"/>
  <c r="G48" i="3"/>
  <c r="F48" i="3"/>
  <c r="G47" i="3"/>
  <c r="F47" i="3"/>
  <c r="G46" i="3"/>
  <c r="F46" i="3"/>
  <c r="G45" i="3"/>
  <c r="F45" i="3"/>
  <c r="G44" i="3"/>
  <c r="F44" i="3"/>
  <c r="G43" i="3"/>
  <c r="F43" i="3"/>
  <c r="G42" i="3"/>
  <c r="F42" i="3"/>
  <c r="G41" i="3"/>
  <c r="F41" i="3"/>
  <c r="G40" i="3"/>
  <c r="F40" i="3"/>
  <c r="G39" i="3"/>
  <c r="F39" i="3"/>
  <c r="G38" i="3"/>
  <c r="F38" i="3"/>
  <c r="G37" i="3"/>
  <c r="F37" i="3"/>
  <c r="G36" i="3"/>
  <c r="F36" i="3"/>
  <c r="G35" i="3"/>
  <c r="F35" i="3"/>
  <c r="G34" i="3"/>
  <c r="F34" i="3"/>
  <c r="G33" i="3"/>
  <c r="F33" i="3"/>
  <c r="G32" i="3"/>
  <c r="F32" i="3"/>
  <c r="G31" i="3"/>
  <c r="F31" i="3"/>
  <c r="G30" i="3"/>
  <c r="F30" i="3"/>
  <c r="G29" i="3"/>
  <c r="F29" i="3"/>
  <c r="G28" i="3"/>
  <c r="F28" i="3"/>
  <c r="G27" i="3"/>
  <c r="F27" i="3"/>
  <c r="G26" i="3"/>
  <c r="F26" i="3"/>
  <c r="G25" i="3"/>
  <c r="F25" i="3"/>
  <c r="G24" i="3"/>
  <c r="F24" i="3"/>
  <c r="G23" i="3"/>
  <c r="F23" i="3"/>
  <c r="G22" i="3"/>
  <c r="F22" i="3"/>
  <c r="G21" i="3"/>
  <c r="F21" i="3"/>
  <c r="G20" i="3"/>
  <c r="F20" i="3"/>
  <c r="G19" i="3"/>
  <c r="F19" i="3"/>
  <c r="G18" i="3"/>
  <c r="F18" i="3"/>
  <c r="G17" i="3"/>
  <c r="F17" i="3"/>
  <c r="G16" i="3"/>
  <c r="F16" i="3"/>
  <c r="G15" i="3"/>
  <c r="F15" i="3"/>
  <c r="G14" i="3"/>
  <c r="F14" i="3"/>
  <c r="G13" i="3"/>
  <c r="F13" i="3"/>
  <c r="G12" i="3"/>
  <c r="F12" i="3"/>
  <c r="G11" i="3"/>
  <c r="F11" i="3"/>
  <c r="G10" i="3"/>
  <c r="F10" i="3"/>
  <c r="G9" i="3"/>
  <c r="F9" i="3"/>
  <c r="G8" i="3"/>
  <c r="F8" i="3"/>
  <c r="G7" i="3"/>
  <c r="F7" i="3"/>
  <c r="G6" i="3"/>
  <c r="F6" i="3"/>
  <c r="G5" i="3"/>
  <c r="F5" i="3"/>
  <c r="G4" i="3"/>
  <c r="F4" i="3"/>
  <c r="G3" i="3"/>
  <c r="F3" i="3"/>
  <c r="H2" i="3"/>
  <c r="G2" i="3"/>
  <c r="F2" i="3"/>
</calcChain>
</file>

<file path=xl/sharedStrings.xml><?xml version="1.0" encoding="utf-8"?>
<sst xmlns="http://schemas.openxmlformats.org/spreadsheetml/2006/main" count="238" uniqueCount="42">
  <si>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</si>
  <si>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</si>
  <si>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</si>
  <si>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</si>
  <si>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</si>
  <si>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</si>
  <si>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</si>
  <si>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</si>
  <si>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</si>
  <si>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</si>
  <si>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</si>
  <si>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</si>
  <si>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</si>
  <si>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</si>
  <si>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</si>
  <si>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</si>
  <si>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</si>
  <si>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</si>
  <si>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</si>
  <si>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</si>
  <si>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</si>
  <si>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</si>
  <si>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</si>
  <si>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</si>
  <si>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</si>
  <si>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</si>
  <si>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</si>
  <si>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</si>
  <si>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</si>
  <si>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grand total</t>
  </si>
  <si>
    <t>unit sold</t>
  </si>
  <si>
    <t xml:space="preserve">total profit </t>
  </si>
  <si>
    <t>average sales</t>
  </si>
  <si>
    <t>Profit</t>
  </si>
  <si>
    <t>Grand Total</t>
  </si>
  <si>
    <t>Unit Sold</t>
  </si>
  <si>
    <t>Total Profit</t>
  </si>
  <si>
    <t>Average Sales</t>
  </si>
  <si>
    <t>Row Labels</t>
  </si>
  <si>
    <t>Sum of Total Sales</t>
  </si>
  <si>
    <t>Sum of Units Sold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</si>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</sst>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64" formatCode="_ &quot;Rs.&quot;\ * #,##0_ ;_ &quot;Rs.&quot;\ * \-#,##0_ ;_ &quot;Rs.&quot;\ * &quot;-&quot;_ ;_ @_ "/>
    <numFmt numFmtId="165" formatCode="&quot;Rs.&quot;\ ##\.##,\ &quot;L&quot;"/>
  </numFmts>
  <fonts count="4">
    <font>
      <sz val="11"/>
      <color theme="1"/>
      <name val="Aptos Narrow"/>
      <family val="2"/>
      <scheme val="minor"/>
    </font>
    <font>
      <sz val="11"/>
      <color theme="1"/>
      <name val="Aptos Narrow"/>
      <family val="2"/>
      <scheme val="minor"/>
    </font>
    <font>
      <sz val="11"/>
      <color theme="0"/>
      <name val="Aptos Narrow"/>
      <family val="2"/>
      <scheme val="minor"/>
    </font>
    <font>
      <u/>
      <sz val="11"/>
      <color theme="1"/>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5">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164" fontId="0" fillId="0" borderId="0" xfId="0" applyNumberFormat="1"/>
    <xf numFmtId="0" fontId="0" fillId="0" borderId="0" xfId="0" applyAlignment="1">
      <alignment horizontal="center"/>
    </xf>
    <xf numFmtId="0" fontId="0" fillId="0" borderId="0" xfId="0" pivotButton="1"/>
    <xf numFmtId="0" fontId="3" fillId="0" borderId="0" xfId="0" applyFont="1"/>
    <xf numFmtId="0" fontId="3" fillId="0" borderId="0" xfId="0" applyNumberFormat="1" applyFont="1"/>
    <xf numFmtId="0" fontId="3" fillId="0" borderId="0" xfId="0" pivotButton="1" applyFont="1"/>
    <xf numFmtId="0" fontId="3" fillId="0" borderId="0" xfId="0" applyFont="1" applyAlignment="1">
      <alignment horizontal="left"/>
    </xf>
    <xf numFmtId="165" fontId="0" fillId="0" borderId="0" xfId="0" applyNumberFormat="1"/>
    <xf numFmtId="43" fontId="0" fillId="0" borderId="0" xfId="2" applyFont="1" applyAlignment="1">
      <alignment horizontal="center"/>
    </xf>
    <xf numFmtId="14" fontId="0" fillId="0" borderId="0" xfId="0" applyNumberFormat="1"/>
  </cellXfs>
  <cellStyles count="3">
    <cellStyle name="Comma" xfId="2" builtinId="3"/>
    <cellStyle name="Currency [0]" xfId="1" builtinId="7"/>
    <cellStyle name="Normal" xfId="0" builtinId="0"/>
  </cellStyles>
  <dxfs count="136">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font>
        <u/>
      </font>
    </dxf>
    <dxf>
      <font>
        <u/>
      </font>
    </dxf>
    <dxf>
      <font>
        <u/>
      </font>
    </dxf>
    <dxf>
      <font>
        <u/>
      </font>
    </dxf>
    <dxf>
      <numFmt numFmtId="165" formatCode="&quot;Rs.&quot;\ ##\.##,\ &quot;L&quot;"/>
    </dxf>
    <dxf>
      <numFmt numFmtId="165" formatCode="&quot;Rs.&quot;\ ##\.##,\ &quot;L&quot;"/>
    </dxf>
    <dxf>
      <numFmt numFmtId="19" formatCode="dd/mm/yyyy"/>
    </dxf>
    <dxf>
      <numFmt numFmtId="164" formatCode="_ &quot;Rs.&quot;\ * #,##0_ ;_ &quot;Rs.&quot;\ * \-#,##0_ ;_ &quot;Rs.&quot;\ * &quot;-&quot;_ ;_ @_ "/>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minor"/>
      </font>
    </dxf>
    <dxf>
      <border outline="0">
        <bottom style="thick">
          <color rgb="FFFFC000"/>
        </bottom>
      </border>
    </dxf>
    <dxf>
      <font>
        <b val="0"/>
        <i val="0"/>
        <strike val="0"/>
        <condense val="0"/>
        <extend val="0"/>
        <outline val="0"/>
        <shadow val="0"/>
        <u val="none"/>
        <vertAlign val="baseline"/>
        <sz val="11"/>
        <color theme="0"/>
        <name val="Aptos Narrow"/>
        <scheme val="minor"/>
      </font>
      <fill>
        <patternFill patternType="solid">
          <fgColor indexed="64"/>
          <bgColor rgb="FF002060"/>
        </patternFill>
      </fill>
      <alignment horizontal="center" vertical="center" textRotation="0" wrapText="0" indent="0" justifyLastLine="0" shrinkToFit="0" readingOrder="0"/>
    </dxf>
    <dxf>
      <numFmt numFmtId="165" formatCode="&quot;Rs.&quot;\ ##\.##,\ &quot;L&quot;"/>
    </dxf>
    <dxf>
      <numFmt numFmtId="165" formatCode="&quot;Rs.&quot;\ ##\.##,\ &quot;L&quot;"/>
    </dxf>
    <dxf>
      <font>
        <u/>
      </font>
    </dxf>
    <dxf>
      <font>
        <u/>
      </font>
    </dxf>
    <dxf>
      <font>
        <u/>
      </font>
    </dxf>
    <dxf>
      <font>
        <u/>
      </font>
    </dxf>
  </dxfs>
  <tableStyles count="1" defaultTableStyle="TableStyleMedium2" defaultPivotStyle="PivotStyleLight16">
    <tableStyle name="Invisible" pivot="0" table="0" count="0"/>
  </tableStyles>
  <colors>
    <mruColors>
      <color rgb="FFF8F4F4"/>
      <color rgb="FFF0FC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Table!PivotTable1</c:name>
    <c:fmtId val="0"/>
  </c:pivotSource>
  <c:chart>
    <c:autoTitleDeleted val="1"/>
    <c:pivotFmts>
      <c:pivotFmt>
        <c:idx val="0"/>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tx1"/>
            </a:solidFill>
          </a:ln>
          <a:effectLst>
            <a:outerShdw blurRad="57150" dist="19050" dir="5400000" algn="ctr" rotWithShape="0">
              <a:srgbClr val="000000">
                <a:alpha val="63000"/>
              </a:srgbClr>
            </a:outerShdw>
          </a:effectLst>
        </c:spPr>
        <c:dLbl>
          <c:idx val="0"/>
          <c:layout>
            <c:manualLayout>
              <c:x val="0.16221374045801526"/>
              <c:y val="-4.1666666666666678E-2"/>
            </c:manualLayout>
          </c:layout>
          <c:showLegendKey val="0"/>
          <c:showVal val="1"/>
          <c:showCatName val="0"/>
          <c:showSerName val="0"/>
          <c:showPercent val="0"/>
          <c:showBubbleSize val="0"/>
          <c:extLst>
            <c:ext xmlns:c15="http://schemas.microsoft.com/office/drawing/2012/chart" uri="{CE6537A1-D6FC-4f65-9D91-7224C49458BB}">
              <c15:layout>
                <c:manualLayout>
                  <c:w val="0.23091603053435114"/>
                  <c:h val="0.10833333333333331"/>
                </c:manualLayout>
              </c15:layout>
            </c:ext>
          </c:extLst>
        </c:dLbl>
      </c:pivotFmt>
      <c:pivotFmt>
        <c:idx val="3"/>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chemeClr val="tx1"/>
            </a:solidFill>
          </a:ln>
          <a:effectLst>
            <a:outerShdw blurRad="57150" dist="19050" dir="5400000" algn="ctr" rotWithShape="0">
              <a:srgbClr val="000000">
                <a:alpha val="63000"/>
              </a:srgbClr>
            </a:outerShdw>
          </a:effectLst>
        </c:spPr>
        <c:dLbl>
          <c:idx val="0"/>
          <c:layout>
            <c:manualLayout>
              <c:x val="-0.13517811704834609"/>
              <c:y val="-6.4814814814814825E-2"/>
            </c:manualLayout>
          </c:layout>
          <c:showLegendKey val="0"/>
          <c:showVal val="1"/>
          <c:showCatName val="0"/>
          <c:showSerName val="0"/>
          <c:showPercent val="0"/>
          <c:showBubbleSize val="0"/>
          <c:extLst>
            <c:ext xmlns:c15="http://schemas.microsoft.com/office/drawing/2012/chart" uri="{CE6537A1-D6FC-4f65-9D91-7224C49458BB}">
              <c15:layout>
                <c:manualLayout>
                  <c:w val="0.20865139949109412"/>
                  <c:h val="0.10833333333333331"/>
                </c:manualLayout>
              </c15:layout>
            </c:ext>
          </c:extLst>
        </c:dLbl>
      </c:pivotFmt>
      <c:pivotFmt>
        <c:idx val="4"/>
        <c:spPr>
          <a:gradFill flip="none" rotWithShape="1">
            <a:gsLst>
              <a:gs pos="66000">
                <a:srgbClr val="FF0000"/>
              </a:gs>
              <a:gs pos="2000">
                <a:srgbClr val="FC7A7A"/>
              </a:gs>
              <a:gs pos="0">
                <a:srgbClr val="F8F4F4"/>
              </a:gs>
              <a:gs pos="74000">
                <a:srgbClr val="FF0000"/>
              </a:gs>
            </a:gsLst>
            <a:lin ang="5400000" scaled="1"/>
            <a:tileRect/>
          </a:gradFill>
          <a:ln>
            <a:solidFill>
              <a:schemeClr val="tx1"/>
            </a:solidFill>
          </a:ln>
          <a:effectLst>
            <a:outerShdw blurRad="57150" dist="19050" dir="5400000" algn="ctr" rotWithShape="0">
              <a:srgbClr val="000000">
                <a:alpha val="63000"/>
              </a:srgbClr>
            </a:outerShdw>
          </a:effectLst>
        </c:spPr>
        <c:dLbl>
          <c:idx val="0"/>
          <c:layout>
            <c:manualLayout>
              <c:x val="-0.18606870229007633"/>
              <c:y val="4.6296114027413238E-2"/>
            </c:manualLayout>
          </c:layout>
          <c:showLegendKey val="0"/>
          <c:showVal val="1"/>
          <c:showCatName val="0"/>
          <c:showSerName val="0"/>
          <c:showPercent val="0"/>
          <c:showBubbleSize val="0"/>
          <c:extLst>
            <c:ext xmlns:c15="http://schemas.microsoft.com/office/drawing/2012/chart" uri="{CE6537A1-D6FC-4f65-9D91-7224C49458BB}">
              <c15:layout>
                <c:manualLayout>
                  <c:w val="0.25954198473282442"/>
                  <c:h val="0.10833333333333331"/>
                </c:manualLayout>
              </c15:layout>
            </c:ext>
          </c:extLst>
        </c:dLbl>
      </c:pivotFmt>
      <c:pivotFmt>
        <c:idx val="5"/>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a:outerShdw blurRad="57150" dist="19050" dir="5400000" algn="ctr" rotWithShape="0">
              <a:srgbClr val="000000">
                <a:alpha val="63000"/>
              </a:srgbClr>
            </a:outerShdw>
          </a:effectLst>
        </c:spPr>
        <c:dLbl>
          <c:idx val="0"/>
          <c:layout>
            <c:manualLayout>
              <c:x val="0.18765903307888038"/>
              <c:y val="2.77777777777778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2773536895674"/>
                  <c:h val="0.10833333333333331"/>
                </c:manualLayout>
              </c15:layout>
            </c:ext>
          </c:extLst>
        </c:dLbl>
      </c:pivotFmt>
      <c:pivotFmt>
        <c:idx val="6"/>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chemeClr val="tx1"/>
            </a:solidFill>
          </a:ln>
          <a:effectLst>
            <a:outerShdw blurRad="57150" dist="19050" dir="5400000" algn="ctr" rotWithShape="0">
              <a:srgbClr val="000000">
                <a:alpha val="63000"/>
              </a:srgbClr>
            </a:outerShdw>
          </a:effectLst>
        </c:spPr>
        <c:dLbl>
          <c:idx val="0"/>
          <c:layout>
            <c:manualLayout>
              <c:x val="-0.18665831357422386"/>
              <c:y val="-6.48147363465159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26132206447171"/>
                  <c:h val="0.10833333333333332"/>
                </c:manualLayout>
              </c15:layout>
            </c:ext>
          </c:extLst>
        </c:dLbl>
      </c:pivotFmt>
      <c:pivotFmt>
        <c:idx val="7"/>
        <c:spPr>
          <a:gradFill flip="none" rotWithShape="1">
            <a:gsLst>
              <a:gs pos="66000">
                <a:srgbClr val="FF0000"/>
              </a:gs>
              <a:gs pos="2000">
                <a:srgbClr val="FC7A7A"/>
              </a:gs>
              <a:gs pos="0">
                <a:srgbClr val="F8F4F4"/>
              </a:gs>
              <a:gs pos="74000">
                <a:srgbClr val="FF0000"/>
              </a:gs>
            </a:gsLst>
            <a:lin ang="5400000" scaled="1"/>
            <a:tileRect/>
          </a:gradFill>
          <a:ln>
            <a:solidFill>
              <a:schemeClr val="tx1"/>
            </a:solidFill>
          </a:ln>
          <a:effectLst>
            <a:outerShdw blurRad="57150" dist="19050" dir="5400000" algn="ctr" rotWithShape="0">
              <a:srgbClr val="000000">
                <a:alpha val="63000"/>
              </a:srgbClr>
            </a:outerShdw>
          </a:effectLst>
        </c:spPr>
        <c:dLbl>
          <c:idx val="0"/>
          <c:layout>
            <c:manualLayout>
              <c:x val="-0.22789613291581795"/>
              <c:y val="5.82544726930319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954198473282442"/>
                  <c:h val="0.10833333333333331"/>
                </c:manualLayout>
              </c15:layout>
            </c:ext>
          </c:extLst>
        </c:dLbl>
      </c:pivotFmt>
      <c:pivotFmt>
        <c:idx val="8"/>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a:outerShdw blurRad="57150" dist="19050" dir="5400000" algn="ctr" rotWithShape="0">
              <a:srgbClr val="000000">
                <a:alpha val="63000"/>
              </a:srgbClr>
            </a:outerShdw>
          </a:effectLst>
        </c:spPr>
        <c:dLbl>
          <c:idx val="0"/>
          <c:layout>
            <c:manualLayout>
              <c:x val="0.22305163712644027"/>
              <c:y val="7.5612288135593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2773536895674"/>
                  <c:h val="0.10833333333333331"/>
                </c:manualLayout>
              </c15:layout>
            </c:ext>
          </c:extLst>
        </c:dLbl>
      </c:pivotFmt>
      <c:pivotFmt>
        <c:idx val="9"/>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tx1"/>
            </a:solidFill>
          </a:ln>
          <a:effectLst>
            <a:outerShdw blurRad="57150" dist="19050" dir="5400000" algn="ctr" rotWithShape="0">
              <a:srgbClr val="000000">
                <a:alpha val="63000"/>
              </a:srgbClr>
            </a:outerShdw>
          </a:effectLst>
        </c:spPr>
        <c:dLbl>
          <c:idx val="0"/>
          <c:layout>
            <c:manualLayout>
              <c:x val="0.20404126004519693"/>
              <c:y val="-4.16664312617702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91603053435114"/>
                  <c:h val="0.10833333333333331"/>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459864814195523"/>
          <c:y val="0.15065725047080983"/>
          <c:w val="0.33766986896908158"/>
          <c:h val="0.62751271186440682"/>
        </c:manualLayout>
      </c:layout>
      <c:doughnutChart>
        <c:varyColors val="1"/>
        <c:ser>
          <c:idx val="0"/>
          <c:order val="0"/>
          <c:tx>
            <c:strRef>
              <c:f>'Pivot Table'!$B$3</c:f>
              <c:strCache>
                <c:ptCount val="1"/>
                <c:pt idx="0">
                  <c:v>Total</c:v>
                </c:pt>
              </c:strCache>
            </c:strRef>
          </c:tx>
          <c:dPt>
            <c:idx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3BE-453E-A581-F4B8D4F83CFB}"/>
              </c:ext>
            </c:extLst>
          </c:dPt>
          <c:dPt>
            <c:idx val="1"/>
            <c:bubble3D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93BE-453E-A581-F4B8D4F83CFB}"/>
              </c:ext>
            </c:extLst>
          </c:dPt>
          <c:dPt>
            <c:idx val="2"/>
            <c:bubble3D val="0"/>
            <c:spPr>
              <a:gradFill flip="none" rotWithShape="1">
                <a:gsLst>
                  <a:gs pos="66000">
                    <a:srgbClr val="FF0000"/>
                  </a:gs>
                  <a:gs pos="2000">
                    <a:srgbClr val="FC7A7A"/>
                  </a:gs>
                  <a:gs pos="0">
                    <a:srgbClr val="F8F4F4"/>
                  </a:gs>
                  <a:gs pos="74000">
                    <a:srgbClr val="FF0000"/>
                  </a:gs>
                </a:gsLst>
                <a:lin ang="5400000" scaled="1"/>
                <a:tileRect/>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3BE-453E-A581-F4B8D4F83CFB}"/>
              </c:ext>
            </c:extLst>
          </c:dPt>
          <c:dPt>
            <c:idx val="3"/>
            <c:bubble3D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3BE-453E-A581-F4B8D4F83CFB}"/>
              </c:ext>
            </c:extLst>
          </c:dPt>
          <c:dLbls>
            <c:dLbl>
              <c:idx val="0"/>
              <c:layout>
                <c:manualLayout>
                  <c:x val="0.20404126004519693"/>
                  <c:y val="-4.1666431261770248E-2"/>
                </c:manualLayout>
              </c:layout>
              <c:showLegendKey val="0"/>
              <c:showVal val="1"/>
              <c:showCatName val="0"/>
              <c:showSerName val="0"/>
              <c:showPercent val="0"/>
              <c:showBubbleSize val="0"/>
              <c:extLst>
                <c:ext xmlns:c15="http://schemas.microsoft.com/office/drawing/2012/chart" uri="{CE6537A1-D6FC-4f65-9D91-7224C49458BB}">
                  <c15:layout>
                    <c:manualLayout>
                      <c:w val="0.23091603053435114"/>
                      <c:h val="0.10833333333333331"/>
                    </c:manualLayout>
                  </c15:layout>
                </c:ext>
                <c:ext xmlns:c16="http://schemas.microsoft.com/office/drawing/2014/chart" uri="{C3380CC4-5D6E-409C-BE32-E72D297353CC}">
                  <c16:uniqueId val="{00000001-93BE-453E-A581-F4B8D4F83CFB}"/>
                </c:ext>
              </c:extLst>
            </c:dLbl>
            <c:dLbl>
              <c:idx val="1"/>
              <c:layout>
                <c:manualLayout>
                  <c:x val="0.22305163712644027"/>
                  <c:y val="7.5612288135593217E-2"/>
                </c:manualLayout>
              </c:layout>
              <c:showLegendKey val="0"/>
              <c:showVal val="1"/>
              <c:showCatName val="0"/>
              <c:showSerName val="0"/>
              <c:showPercent val="0"/>
              <c:showBubbleSize val="0"/>
              <c:extLst>
                <c:ext xmlns:c15="http://schemas.microsoft.com/office/drawing/2012/chart" uri="{CE6537A1-D6FC-4f65-9D91-7224C49458BB}">
                  <c15:layout>
                    <c:manualLayout>
                      <c:w val="0.2372773536895674"/>
                      <c:h val="0.10833333333333331"/>
                    </c:manualLayout>
                  </c15:layout>
                </c:ext>
                <c:ext xmlns:c16="http://schemas.microsoft.com/office/drawing/2014/chart" uri="{C3380CC4-5D6E-409C-BE32-E72D297353CC}">
                  <c16:uniqueId val="{00000004-93BE-453E-A581-F4B8D4F83CFB}"/>
                </c:ext>
              </c:extLst>
            </c:dLbl>
            <c:dLbl>
              <c:idx val="2"/>
              <c:layout>
                <c:manualLayout>
                  <c:x val="-0.22789613291581795"/>
                  <c:y val="5.8254472693031904E-2"/>
                </c:manualLayout>
              </c:layout>
              <c:showLegendKey val="0"/>
              <c:showVal val="1"/>
              <c:showCatName val="0"/>
              <c:showSerName val="0"/>
              <c:showPercent val="0"/>
              <c:showBubbleSize val="0"/>
              <c:extLst>
                <c:ext xmlns:c15="http://schemas.microsoft.com/office/drawing/2012/chart" uri="{CE6537A1-D6FC-4f65-9D91-7224C49458BB}">
                  <c15:layout>
                    <c:manualLayout>
                      <c:w val="0.25954198473282442"/>
                      <c:h val="0.10833333333333331"/>
                    </c:manualLayout>
                  </c15:layout>
                </c:ext>
                <c:ext xmlns:c16="http://schemas.microsoft.com/office/drawing/2014/chart" uri="{C3380CC4-5D6E-409C-BE32-E72D297353CC}">
                  <c16:uniqueId val="{00000003-93BE-453E-A581-F4B8D4F83CFB}"/>
                </c:ext>
              </c:extLst>
            </c:dLbl>
            <c:dLbl>
              <c:idx val="3"/>
              <c:layout>
                <c:manualLayout>
                  <c:x val="-0.18665831357422386"/>
                  <c:y val="-6.4814736346515966E-2"/>
                </c:manualLayout>
              </c:layout>
              <c:showLegendKey val="0"/>
              <c:showVal val="1"/>
              <c:showCatName val="0"/>
              <c:showSerName val="0"/>
              <c:showPercent val="0"/>
              <c:showBubbleSize val="0"/>
              <c:extLst>
                <c:ext xmlns:c15="http://schemas.microsoft.com/office/drawing/2012/chart" uri="{CE6537A1-D6FC-4f65-9D91-7224C49458BB}">
                  <c15:layout>
                    <c:manualLayout>
                      <c:w val="0.24726132206447171"/>
                      <c:h val="0.10833333333333332"/>
                    </c:manualLayout>
                  </c15:layout>
                </c:ext>
                <c:ext xmlns:c16="http://schemas.microsoft.com/office/drawing/2014/chart" uri="{C3380CC4-5D6E-409C-BE32-E72D297353CC}">
                  <c16:uniqueId val="{00000002-93BE-453E-A581-F4B8D4F83C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"Rs."\ ##\.##,\ "L"</c:formatCode>
                <c:ptCount val="4"/>
                <c:pt idx="0">
                  <c:v>3534400</c:v>
                </c:pt>
                <c:pt idx="1">
                  <c:v>2661400</c:v>
                </c:pt>
                <c:pt idx="2">
                  <c:v>2870600</c:v>
                </c:pt>
                <c:pt idx="3">
                  <c:v>3878100</c:v>
                </c:pt>
              </c:numCache>
            </c:numRef>
          </c:val>
          <c:extLst>
            <c:ext xmlns:c16="http://schemas.microsoft.com/office/drawing/2014/chart" uri="{C3380CC4-5D6E-409C-BE32-E72D297353CC}">
              <c16:uniqueId val="{00000000-93BE-453E-A581-F4B8D4F83CFB}"/>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ln>
                <a:solidFill>
                  <a:sysClr val="window" lastClr="FFFFFF"/>
                </a:solidFill>
              </a:ln>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Table!PivotTable2</c:name>
    <c:fmtId val="1"/>
  </c:pivotSource>
  <c:chart>
    <c:autoTitleDeleted val="1"/>
    <c:pivotFmts>
      <c:pivotFmt>
        <c:idx val="0"/>
      </c:pivotFmt>
      <c:pivotFmt>
        <c:idx val="1"/>
        <c:spPr>
          <a:solidFill>
            <a:schemeClr val="accent6">
              <a:lumMod val="60000"/>
              <a:lumOff val="40000"/>
            </a:schemeClr>
          </a:solidFill>
          <a:ln>
            <a:noFill/>
          </a:ln>
          <a:effectLst>
            <a:outerShdw blurRad="57150" dist="19050" dir="5400000" algn="ctr" rotWithShape="0">
              <a:schemeClr val="tx1">
                <a:alpha val="63000"/>
              </a:schemeClr>
            </a:outerShdw>
          </a:effectLst>
          <a:scene3d>
            <a:camera prst="orthographicFront"/>
            <a:lightRig rig="threePt" dir="t"/>
          </a:scene3d>
          <a:sp3d prstMaterial="matte"/>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6">
                <a:lumMod val="60000"/>
                <a:lumOff val="40000"/>
              </a:schemeClr>
            </a:solidFill>
            <a:ln>
              <a:noFill/>
            </a:ln>
            <a:effectLst>
              <a:outerShdw blurRad="57150" dist="19050" dir="5400000" algn="ctr" rotWithShape="0">
                <a:schemeClr val="tx1">
                  <a:alpha val="63000"/>
                </a:schemeClr>
              </a:outerShdw>
            </a:effectLst>
            <a:scene3d>
              <a:camera prst="orthographicFront"/>
              <a:lightRig rig="threePt" dir="t"/>
            </a:scene3d>
            <a:sp3d prstMaterial="matte"/>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no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Table'!$D$4:$D$11</c:f>
              <c:strCache>
                <c:ptCount val="7"/>
                <c:pt idx="0">
                  <c:v>Action Figure</c:v>
                </c:pt>
                <c:pt idx="1">
                  <c:v>Blender</c:v>
                </c:pt>
                <c:pt idx="2">
                  <c:v>Moisturizer</c:v>
                </c:pt>
                <c:pt idx="3">
                  <c:v>Novel</c:v>
                </c:pt>
                <c:pt idx="4">
                  <c:v>Smartphone</c:v>
                </c:pt>
                <c:pt idx="5">
                  <c:v>Sneakers</c:v>
                </c:pt>
                <c:pt idx="6">
                  <c:v>Tent</c:v>
                </c:pt>
              </c:strCache>
            </c:strRef>
          </c:cat>
          <c:val>
            <c:numRef>
              <c:f>'Pivot Table'!$E$4:$E$11</c:f>
              <c:numCache>
                <c:formatCode>"Rs."\ ##\.##,\ "L"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64FB-4CC8-8BE0-37735171065F}"/>
            </c:ext>
          </c:extLst>
        </c:ser>
        <c:dLbls>
          <c:dLblPos val="outEnd"/>
          <c:showLegendKey val="0"/>
          <c:showVal val="1"/>
          <c:showCatName val="0"/>
          <c:showSerName val="0"/>
          <c:showPercent val="0"/>
          <c:showBubbleSize val="0"/>
        </c:dLbls>
        <c:gapWidth val="60"/>
        <c:overlap val="-77"/>
        <c:axId val="444203504"/>
        <c:axId val="444204336"/>
      </c:barChart>
      <c:catAx>
        <c:axId val="4442035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w="3175">
                  <a:solidFill>
                    <a:schemeClr val="bg1"/>
                  </a:solidFill>
                </a:ln>
                <a:solidFill>
                  <a:schemeClr val="bg1"/>
                </a:solidFill>
                <a:latin typeface="+mn-lt"/>
                <a:ea typeface="+mn-ea"/>
                <a:cs typeface="+mn-cs"/>
              </a:defRPr>
            </a:pPr>
            <a:endParaRPr lang="en-US"/>
          </a:p>
        </c:txPr>
        <c:crossAx val="444204336"/>
        <c:crosses val="autoZero"/>
        <c:auto val="1"/>
        <c:lblAlgn val="ctr"/>
        <c:lblOffset val="100"/>
        <c:noMultiLvlLbl val="0"/>
      </c:catAx>
      <c:valAx>
        <c:axId val="444204336"/>
        <c:scaling>
          <c:orientation val="minMax"/>
        </c:scaling>
        <c:delete val="1"/>
        <c:axPos val="b"/>
        <c:majorGridlines>
          <c:spPr>
            <a:ln w="9525" cap="flat" cmpd="sng" algn="ctr">
              <a:solidFill>
                <a:schemeClr val="lt1">
                  <a:lumMod val="95000"/>
                  <a:alpha val="10000"/>
                </a:schemeClr>
              </a:solidFill>
              <a:round/>
            </a:ln>
            <a:effectLst/>
          </c:spPr>
        </c:majorGridlines>
        <c:numFmt formatCode="&quot;Rs.&quot;\ ##\.##,\ &quot;L&quot;" sourceLinked="1"/>
        <c:majorTickMark val="none"/>
        <c:minorTickMark val="none"/>
        <c:tickLblPos val="nextTo"/>
        <c:crossAx val="4442035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Table!PivotTable3</c:name>
    <c:fmtId val="0"/>
  </c:pivotSource>
  <c:chart>
    <c:autoTitleDeleted val="1"/>
    <c:pivotFmts>
      <c:pivotFmt>
        <c:idx val="0"/>
      </c:pivotFmt>
      <c:pivotFmt>
        <c:idx val="1"/>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
          <c:y val="8.7521143190434525E-2"/>
          <c:w val="0.96654501216545008"/>
          <c:h val="0.78527376786235059"/>
        </c:manualLayout>
      </c:layout>
      <c:barChart>
        <c:barDir val="col"/>
        <c:grouping val="clustered"/>
        <c:varyColors val="0"/>
        <c:ser>
          <c:idx val="0"/>
          <c:order val="0"/>
          <c:tx>
            <c:strRef>
              <c:f>'Pivot Table'!$H$4</c:f>
              <c:strCache>
                <c:ptCount val="1"/>
                <c:pt idx="0">
                  <c:v>Total</c:v>
                </c:pt>
              </c:strCache>
            </c:strRef>
          </c:tx>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Table'!$G$5:$G$15</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Table'!$H$5:$H$15</c:f>
              <c:numCache>
                <c:formatCode>"Rs."\ ##\.##,\ "L"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AD9F-4C03-A196-A0520E2E9C2A}"/>
            </c:ext>
          </c:extLst>
        </c:ser>
        <c:dLbls>
          <c:dLblPos val="outEnd"/>
          <c:showLegendKey val="0"/>
          <c:showVal val="1"/>
          <c:showCatName val="0"/>
          <c:showSerName val="0"/>
          <c:showPercent val="0"/>
          <c:showBubbleSize val="0"/>
        </c:dLbls>
        <c:gapWidth val="76"/>
        <c:overlap val="-54"/>
        <c:axId val="316428112"/>
        <c:axId val="316433936"/>
      </c:barChart>
      <c:catAx>
        <c:axId val="31642811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0" spcFirstLastPara="1" vertOverflow="ellipsis" wrap="square" anchor="b" anchorCtr="0"/>
          <a:lstStyle/>
          <a:p>
            <a:pPr>
              <a:defRPr sz="900" b="0" i="0" u="none" strike="noStrike" kern="1200" baseline="0">
                <a:ln w="3175">
                  <a:solidFill>
                    <a:schemeClr val="bg1"/>
                  </a:solidFill>
                </a:ln>
                <a:solidFill>
                  <a:schemeClr val="bg1"/>
                </a:solidFill>
                <a:latin typeface="+mn-lt"/>
                <a:ea typeface="+mn-ea"/>
                <a:cs typeface="+mn-cs"/>
              </a:defRPr>
            </a:pPr>
            <a:endParaRPr lang="en-US"/>
          </a:p>
        </c:txPr>
        <c:crossAx val="316433936"/>
        <c:crosses val="autoZero"/>
        <c:auto val="1"/>
        <c:lblAlgn val="ctr"/>
        <c:lblOffset val="100"/>
        <c:noMultiLvlLbl val="0"/>
      </c:catAx>
      <c:valAx>
        <c:axId val="316433936"/>
        <c:scaling>
          <c:orientation val="minMax"/>
        </c:scaling>
        <c:delete val="1"/>
        <c:axPos val="l"/>
        <c:majorGridlines>
          <c:spPr>
            <a:ln w="9525" cap="flat" cmpd="sng" algn="ctr">
              <a:solidFill>
                <a:schemeClr val="lt1">
                  <a:lumMod val="95000"/>
                  <a:alpha val="10000"/>
                </a:schemeClr>
              </a:solidFill>
              <a:round/>
            </a:ln>
            <a:effectLst/>
          </c:spPr>
        </c:majorGridlines>
        <c:numFmt formatCode="&quot;Rs.&quot;\ ##\.##,\ &quot;L&quot;" sourceLinked="1"/>
        <c:majorTickMark val="out"/>
        <c:minorTickMark val="none"/>
        <c:tickLblPos val="nextTo"/>
        <c:crossAx val="31642811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Table!PivotTable4</c:name>
    <c:fmtId val="0"/>
  </c:pivotSource>
  <c:chart>
    <c:autoTitleDeleted val="1"/>
    <c:pivotFmts>
      <c:pivotFmt>
        <c:idx val="0"/>
      </c:pivotFmt>
      <c:pivotFmt>
        <c:idx val="1"/>
        <c:spPr>
          <a:ln w="34925" cap="rnd" cmpd="sng">
            <a:solidFill>
              <a:schemeClr val="accent4">
                <a:lumMod val="60000"/>
                <a:lumOff val="40000"/>
              </a:schemeClr>
            </a:solidFill>
            <a:round/>
          </a:ln>
          <a:effectLst>
            <a:outerShdw blurRad="50800" dist="38100" dir="5400000" algn="t" rotWithShape="0">
              <a:schemeClr val="tx1">
                <a:alpha val="40000"/>
              </a:schemeClr>
            </a:outerShdw>
          </a:effectLst>
        </c:spPr>
        <c:marker>
          <c:symbol val="circle"/>
          <c:size val="6"/>
          <c:spPr>
            <a:solidFill>
              <a:schemeClr val="bg1"/>
            </a:solidFill>
            <a:ln w="9525">
              <a:solidFill>
                <a:schemeClr val="accent4">
                  <a:lumMod val="60000"/>
                  <a:lumOff val="40000"/>
                </a:schemeClr>
              </a:solidFill>
              <a:round/>
            </a:ln>
            <a:effectLst>
              <a:outerShdw blurRad="50800" dist="38100" dir="5400000" algn="t" rotWithShape="0">
                <a:schemeClr val="tx1">
                  <a:alpha val="40000"/>
                </a:scheme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ln w="34925" cap="rnd" cmpd="sng">
            <a:solidFill>
              <a:schemeClr val="accent4">
                <a:lumMod val="60000"/>
                <a:lumOff val="40000"/>
              </a:schemeClr>
            </a:solidFill>
            <a:prstDash val="solid"/>
            <a:round/>
          </a:ln>
          <a:effectLst>
            <a:outerShdw blurRad="50800" dist="38100" dir="5400000" algn="t" rotWithShape="0">
              <a:schemeClr val="tx1">
                <a:alpha val="40000"/>
              </a:schemeClr>
            </a:outerShdw>
          </a:effectLst>
        </c:spPr>
        <c:marker>
          <c:symbol val="circle"/>
          <c:size val="6"/>
          <c:spPr>
            <a:solidFill>
              <a:schemeClr val="bg1"/>
            </a:solidFill>
            <a:ln w="9525">
              <a:solidFill>
                <a:schemeClr val="accent4">
                  <a:lumMod val="60000"/>
                  <a:lumOff val="40000"/>
                </a:schemeClr>
              </a:solidFill>
              <a:round/>
            </a:ln>
            <a:effectLst>
              <a:outerShdw blurRad="50800" dist="38100" dir="5400000" algn="t" rotWithShape="0">
                <a:schemeClr val="tx1">
                  <a:alpha val="40000"/>
                </a:schemeClr>
              </a:outerShdw>
            </a:effectLst>
          </c:spPr>
        </c:marker>
      </c:pivotFmt>
    </c:pivotFmts>
    <c:plotArea>
      <c:layout>
        <c:manualLayout>
          <c:layoutTarget val="inner"/>
          <c:xMode val="edge"/>
          <c:yMode val="edge"/>
          <c:x val="1.0907504363001745E-2"/>
          <c:y val="0.13381743948673083"/>
          <c:w val="0.95200698080279234"/>
          <c:h val="0.49268081073199183"/>
        </c:manualLayout>
      </c:layout>
      <c:lineChart>
        <c:grouping val="standard"/>
        <c:varyColors val="0"/>
        <c:ser>
          <c:idx val="0"/>
          <c:order val="0"/>
          <c:tx>
            <c:strRef>
              <c:f>'Pivot Table'!$K$4</c:f>
              <c:strCache>
                <c:ptCount val="1"/>
                <c:pt idx="0">
                  <c:v>Total</c:v>
                </c:pt>
              </c:strCache>
            </c:strRef>
          </c:tx>
          <c:spPr>
            <a:ln w="34925" cap="rnd" cmpd="sng">
              <a:solidFill>
                <a:schemeClr val="accent4">
                  <a:lumMod val="60000"/>
                  <a:lumOff val="40000"/>
                </a:schemeClr>
              </a:solidFill>
              <a:round/>
            </a:ln>
            <a:effectLst>
              <a:outerShdw blurRad="50800" dist="38100" dir="5400000" algn="t" rotWithShape="0">
                <a:schemeClr val="tx1">
                  <a:alpha val="40000"/>
                </a:schemeClr>
              </a:outerShdw>
            </a:effectLst>
          </c:spPr>
          <c:marker>
            <c:symbol val="circle"/>
            <c:size val="6"/>
            <c:spPr>
              <a:solidFill>
                <a:schemeClr val="bg1"/>
              </a:solidFill>
              <a:ln w="9525">
                <a:solidFill>
                  <a:schemeClr val="accent4">
                    <a:lumMod val="60000"/>
                    <a:lumOff val="40000"/>
                  </a:schemeClr>
                </a:solidFill>
                <a:round/>
              </a:ln>
              <a:effectLst>
                <a:outerShdw blurRad="50800" dist="38100" dir="5400000" algn="t" rotWithShape="0">
                  <a:schemeClr val="tx1">
                    <a:alpha val="40000"/>
                  </a:schemeClr>
                </a:outerShdw>
              </a:effectLst>
            </c:spPr>
          </c:marker>
          <c:dPt>
            <c:idx val="5"/>
            <c:marker>
              <c:symbol val="circle"/>
              <c:size val="6"/>
              <c:spPr>
                <a:solidFill>
                  <a:schemeClr val="bg1"/>
                </a:solidFill>
                <a:ln w="9525">
                  <a:solidFill>
                    <a:schemeClr val="accent4">
                      <a:lumMod val="60000"/>
                      <a:lumOff val="40000"/>
                    </a:schemeClr>
                  </a:solidFill>
                  <a:round/>
                </a:ln>
                <a:effectLst>
                  <a:outerShdw blurRad="50800" dist="38100" dir="5400000" algn="t" rotWithShape="0">
                    <a:schemeClr val="tx1">
                      <a:alpha val="40000"/>
                    </a:schemeClr>
                  </a:outerShdw>
                </a:effectLst>
              </c:spPr>
            </c:marker>
            <c:bubble3D val="0"/>
            <c:spPr>
              <a:ln w="34925" cap="rnd" cmpd="sng">
                <a:solidFill>
                  <a:schemeClr val="accent4">
                    <a:lumMod val="60000"/>
                    <a:lumOff val="40000"/>
                  </a:schemeClr>
                </a:solidFill>
                <a:prstDash val="solid"/>
                <a:round/>
              </a:ln>
              <a:effectLst>
                <a:outerShdw blurRad="50800" dist="38100" dir="5400000" algn="t" rotWithShape="0">
                  <a:schemeClr val="tx1">
                    <a:alpha val="40000"/>
                  </a:schemeClr>
                </a:outerShdw>
              </a:effectLst>
            </c:spPr>
            <c:extLst>
              <c:ext xmlns:c16="http://schemas.microsoft.com/office/drawing/2014/chart" uri="{C3380CC4-5D6E-409C-BE32-E72D297353CC}">
                <c16:uniqueId val="{00000002-DD31-4A7A-97FE-D75292FC14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Table'!$J$5:$J$12</c:f>
              <c:strCache>
                <c:ptCount val="7"/>
                <c:pt idx="0">
                  <c:v>Action Figure</c:v>
                </c:pt>
                <c:pt idx="1">
                  <c:v>Blender</c:v>
                </c:pt>
                <c:pt idx="2">
                  <c:v>Moisturizer</c:v>
                </c:pt>
                <c:pt idx="3">
                  <c:v>Novel</c:v>
                </c:pt>
                <c:pt idx="4">
                  <c:v>Smartphone</c:v>
                </c:pt>
                <c:pt idx="5">
                  <c:v>Sneakers</c:v>
                </c:pt>
                <c:pt idx="6">
                  <c:v>Tent</c:v>
                </c:pt>
              </c:strCache>
            </c:strRef>
          </c:cat>
          <c:val>
            <c:numRef>
              <c:f>'Pivot Table'!$K$5:$K$12</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DD31-4A7A-97FE-D75292FC14C9}"/>
            </c:ext>
          </c:extLst>
        </c:ser>
        <c:dLbls>
          <c:dLblPos val="t"/>
          <c:showLegendKey val="0"/>
          <c:showVal val="1"/>
          <c:showCatName val="0"/>
          <c:showSerName val="0"/>
          <c:showPercent val="0"/>
          <c:showBubbleSize val="0"/>
        </c:dLbls>
        <c:marker val="1"/>
        <c:smooth val="0"/>
        <c:axId val="476979456"/>
        <c:axId val="476981952"/>
      </c:lineChart>
      <c:catAx>
        <c:axId val="476979456"/>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0" spcFirstLastPara="1" vertOverflow="ellipsis" wrap="square" anchor="ctr" anchorCtr="1"/>
          <a:lstStyle/>
          <a:p>
            <a:pPr>
              <a:defRPr sz="900" b="0" i="0" u="none" strike="noStrike" kern="1200" baseline="0">
                <a:ln w="0">
                  <a:solidFill>
                    <a:schemeClr val="bg1"/>
                  </a:solidFill>
                </a:ln>
                <a:solidFill>
                  <a:schemeClr val="bg1"/>
                </a:solidFill>
                <a:latin typeface="+mn-lt"/>
                <a:ea typeface="+mn-ea"/>
                <a:cs typeface="+mn-cs"/>
              </a:defRPr>
            </a:pPr>
            <a:endParaRPr lang="en-US"/>
          </a:p>
        </c:txPr>
        <c:crossAx val="476981952"/>
        <c:crosses val="autoZero"/>
        <c:auto val="1"/>
        <c:lblAlgn val="ctr"/>
        <c:lblOffset val="100"/>
        <c:noMultiLvlLbl val="0"/>
      </c:catAx>
      <c:valAx>
        <c:axId val="476981952"/>
        <c:scaling>
          <c:orientation val="minMax"/>
        </c:scaling>
        <c:delete val="1"/>
        <c:axPos val="l"/>
        <c:numFmt formatCode="General" sourceLinked="1"/>
        <c:majorTickMark val="out"/>
        <c:minorTickMark val="none"/>
        <c:tickLblPos val="nextTo"/>
        <c:crossAx val="476979456"/>
        <c:crosses val="autoZero"/>
        <c:crossBetween val="between"/>
      </c:valAx>
      <c:spPr>
        <a:noFill/>
        <a:ln>
          <a:solidFill>
            <a:schemeClr val="accent4">
              <a:lumMod val="60000"/>
              <a:lumOff val="40000"/>
            </a:schemeClr>
          </a:solid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Table!PivotTable4</c:name>
    <c:fmtId val="4"/>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cmpd="sng">
            <a:solidFill>
              <a:schemeClr val="accent4">
                <a:lumMod val="60000"/>
                <a:lumOff val="40000"/>
              </a:schemeClr>
            </a:solidFill>
            <a:round/>
          </a:ln>
          <a:effectLst>
            <a:outerShdw blurRad="50800" dist="38100" dir="5400000" algn="t" rotWithShape="0">
              <a:schemeClr val="tx1">
                <a:alpha val="40000"/>
              </a:schemeClr>
            </a:outerShdw>
          </a:effectLst>
        </c:spPr>
        <c:marker>
          <c:symbol val="circle"/>
          <c:size val="6"/>
          <c:spPr>
            <a:solidFill>
              <a:schemeClr val="bg1"/>
            </a:solidFill>
            <a:ln w="9525">
              <a:solidFill>
                <a:schemeClr val="accent4">
                  <a:lumMod val="60000"/>
                  <a:lumOff val="40000"/>
                </a:schemeClr>
              </a:solidFill>
              <a:round/>
            </a:ln>
            <a:effectLst>
              <a:outerShdw blurRad="50800" dist="38100" dir="5400000" algn="t" rotWithShape="0">
                <a:schemeClr val="tx1">
                  <a:alpha val="40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cmpd="sng">
            <a:solidFill>
              <a:schemeClr val="accent4">
                <a:lumMod val="60000"/>
                <a:lumOff val="40000"/>
              </a:schemeClr>
            </a:solidFill>
            <a:prstDash val="solid"/>
            <a:round/>
          </a:ln>
          <a:effectLst>
            <a:outerShdw blurRad="50800" dist="38100" dir="5400000" algn="t" rotWithShape="0">
              <a:schemeClr val="tx1">
                <a:alpha val="40000"/>
              </a:schemeClr>
            </a:outerShdw>
          </a:effectLst>
        </c:spPr>
        <c:marker>
          <c:symbol val="circle"/>
          <c:size val="6"/>
          <c:spPr>
            <a:solidFill>
              <a:schemeClr val="bg1"/>
            </a:solidFill>
            <a:ln w="9525">
              <a:solidFill>
                <a:schemeClr val="accent4">
                  <a:lumMod val="60000"/>
                  <a:lumOff val="40000"/>
                </a:schemeClr>
              </a:solidFill>
              <a:round/>
            </a:ln>
            <a:effectLst>
              <a:outerShdw blurRad="50800" dist="38100" dir="5400000" algn="t" rotWithShape="0">
                <a:schemeClr val="tx1">
                  <a:alpha val="40000"/>
                </a:scheme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cmpd="sng">
            <a:solidFill>
              <a:schemeClr val="accent4">
                <a:lumMod val="60000"/>
                <a:lumOff val="40000"/>
              </a:schemeClr>
            </a:solidFill>
            <a:round/>
          </a:ln>
          <a:effectLst>
            <a:outerShdw blurRad="50800" dist="38100" dir="5400000" algn="t" rotWithShape="0">
              <a:schemeClr val="tx1">
                <a:alpha val="40000"/>
              </a:schemeClr>
            </a:outerShdw>
          </a:effectLst>
        </c:spPr>
        <c:marker>
          <c:symbol val="circle"/>
          <c:size val="6"/>
          <c:spPr>
            <a:solidFill>
              <a:schemeClr val="bg1"/>
            </a:solidFill>
            <a:ln w="9525">
              <a:solidFill>
                <a:schemeClr val="accent4">
                  <a:lumMod val="60000"/>
                  <a:lumOff val="40000"/>
                </a:schemeClr>
              </a:solidFill>
              <a:round/>
            </a:ln>
            <a:effectLst>
              <a:outerShdw blurRad="50800" dist="38100" dir="5400000" algn="t" rotWithShape="0">
                <a:schemeClr val="tx1">
                  <a:alpha val="40000"/>
                </a:scheme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cmpd="sng">
            <a:solidFill>
              <a:schemeClr val="accent4">
                <a:lumMod val="60000"/>
                <a:lumOff val="40000"/>
              </a:schemeClr>
            </a:solidFill>
            <a:prstDash val="solid"/>
            <a:round/>
          </a:ln>
          <a:effectLst>
            <a:outerShdw blurRad="50800" dist="38100" dir="5400000" algn="t" rotWithShape="0">
              <a:schemeClr val="tx1">
                <a:alpha val="40000"/>
              </a:schemeClr>
            </a:outerShdw>
          </a:effectLst>
        </c:spPr>
        <c:marker>
          <c:symbol val="circle"/>
          <c:size val="6"/>
          <c:spPr>
            <a:solidFill>
              <a:schemeClr val="bg1"/>
            </a:solidFill>
            <a:ln w="9525">
              <a:solidFill>
                <a:schemeClr val="accent4">
                  <a:lumMod val="60000"/>
                  <a:lumOff val="40000"/>
                </a:schemeClr>
              </a:solidFill>
              <a:round/>
            </a:ln>
            <a:effectLst>
              <a:outerShdw blurRad="50800" dist="38100" dir="5400000" algn="t" rotWithShape="0">
                <a:schemeClr val="tx1">
                  <a:alpha val="40000"/>
                </a:schemeClr>
              </a:outerShdw>
            </a:effectLst>
          </c:spPr>
        </c:marker>
      </c:pivotFmt>
      <c:pivotFmt>
        <c:idx val="5"/>
        <c:spPr>
          <a:ln w="34925" cap="rnd" cmpd="sng">
            <a:solidFill>
              <a:schemeClr val="accent4">
                <a:lumMod val="60000"/>
                <a:lumOff val="40000"/>
              </a:schemeClr>
            </a:solidFill>
            <a:round/>
          </a:ln>
          <a:effectLst>
            <a:outerShdw blurRad="50800" dist="38100" dir="5400000" algn="t" rotWithShape="0">
              <a:schemeClr val="tx1">
                <a:alpha val="40000"/>
              </a:schemeClr>
            </a:outerShdw>
          </a:effectLst>
        </c:spPr>
        <c:marker>
          <c:symbol val="circle"/>
          <c:size val="6"/>
          <c:spPr>
            <a:solidFill>
              <a:schemeClr val="bg1"/>
            </a:solidFill>
            <a:ln w="9525">
              <a:solidFill>
                <a:schemeClr val="accent4">
                  <a:lumMod val="60000"/>
                  <a:lumOff val="40000"/>
                </a:schemeClr>
              </a:solidFill>
              <a:round/>
            </a:ln>
            <a:effectLst>
              <a:outerShdw blurRad="50800" dist="38100" dir="5400000" algn="t" rotWithShape="0">
                <a:schemeClr val="tx1">
                  <a:alpha val="40000"/>
                </a:scheme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ln w="34925" cap="rnd" cmpd="sng">
            <a:solidFill>
              <a:schemeClr val="accent4">
                <a:lumMod val="60000"/>
                <a:lumOff val="40000"/>
              </a:schemeClr>
            </a:solidFill>
            <a:prstDash val="solid"/>
            <a:round/>
          </a:ln>
          <a:effectLst>
            <a:outerShdw blurRad="50800" dist="38100" dir="5400000" algn="t" rotWithShape="0">
              <a:schemeClr val="tx1">
                <a:alpha val="40000"/>
              </a:schemeClr>
            </a:outerShdw>
          </a:effectLst>
        </c:spPr>
        <c:marker>
          <c:symbol val="circle"/>
          <c:size val="6"/>
          <c:spPr>
            <a:solidFill>
              <a:schemeClr val="bg1"/>
            </a:solidFill>
            <a:ln w="9525">
              <a:solidFill>
                <a:schemeClr val="accent4">
                  <a:lumMod val="60000"/>
                  <a:lumOff val="40000"/>
                </a:schemeClr>
              </a:solidFill>
              <a:round/>
            </a:ln>
            <a:effectLst>
              <a:outerShdw blurRad="50800" dist="38100" dir="5400000" algn="t" rotWithShape="0">
                <a:schemeClr val="tx1">
                  <a:alpha val="40000"/>
                </a:schemeClr>
              </a:outerShdw>
            </a:effectLst>
          </c:spPr>
        </c:marker>
      </c:pivotFmt>
    </c:pivotFmts>
    <c:plotArea>
      <c:layout>
        <c:manualLayout>
          <c:layoutTarget val="inner"/>
          <c:xMode val="edge"/>
          <c:yMode val="edge"/>
          <c:x val="0"/>
          <c:y val="5.9196143382919571E-2"/>
          <c:w val="0.95200698080279234"/>
          <c:h val="0.73491090883698096"/>
        </c:manualLayout>
      </c:layout>
      <c:lineChart>
        <c:grouping val="standard"/>
        <c:varyColors val="0"/>
        <c:ser>
          <c:idx val="0"/>
          <c:order val="0"/>
          <c:tx>
            <c:strRef>
              <c:f>'Pivot Table'!$K$4</c:f>
              <c:strCache>
                <c:ptCount val="1"/>
                <c:pt idx="0">
                  <c:v>Total</c:v>
                </c:pt>
              </c:strCache>
            </c:strRef>
          </c:tx>
          <c:spPr>
            <a:ln w="34925" cap="rnd" cmpd="sng">
              <a:solidFill>
                <a:schemeClr val="accent4">
                  <a:lumMod val="60000"/>
                  <a:lumOff val="40000"/>
                </a:schemeClr>
              </a:solidFill>
              <a:round/>
            </a:ln>
            <a:effectLst>
              <a:outerShdw blurRad="50800" dist="38100" dir="5400000" algn="t" rotWithShape="0">
                <a:schemeClr val="tx1">
                  <a:alpha val="40000"/>
                </a:schemeClr>
              </a:outerShdw>
            </a:effectLst>
          </c:spPr>
          <c:marker>
            <c:symbol val="circle"/>
            <c:size val="6"/>
            <c:spPr>
              <a:solidFill>
                <a:schemeClr val="bg1"/>
              </a:solidFill>
              <a:ln w="9525">
                <a:solidFill>
                  <a:schemeClr val="accent4">
                    <a:lumMod val="60000"/>
                    <a:lumOff val="40000"/>
                  </a:schemeClr>
                </a:solidFill>
                <a:round/>
              </a:ln>
              <a:effectLst>
                <a:outerShdw blurRad="50800" dist="38100" dir="5400000" algn="t" rotWithShape="0">
                  <a:schemeClr val="tx1">
                    <a:alpha val="40000"/>
                  </a:schemeClr>
                </a:outerShdw>
              </a:effectLst>
            </c:spPr>
          </c:marker>
          <c:dPt>
            <c:idx val="5"/>
            <c:marker>
              <c:symbol val="circle"/>
              <c:size val="6"/>
              <c:spPr>
                <a:solidFill>
                  <a:schemeClr val="bg1"/>
                </a:solidFill>
                <a:ln w="9525">
                  <a:solidFill>
                    <a:schemeClr val="accent4">
                      <a:lumMod val="60000"/>
                      <a:lumOff val="40000"/>
                    </a:schemeClr>
                  </a:solidFill>
                  <a:round/>
                </a:ln>
                <a:effectLst>
                  <a:outerShdw blurRad="50800" dist="38100" dir="5400000" algn="t" rotWithShape="0">
                    <a:schemeClr val="tx1">
                      <a:alpha val="40000"/>
                    </a:schemeClr>
                  </a:outerShdw>
                </a:effectLst>
              </c:spPr>
            </c:marker>
            <c:bubble3D val="0"/>
            <c:spPr>
              <a:ln w="34925" cap="rnd" cmpd="sng">
                <a:solidFill>
                  <a:schemeClr val="accent4">
                    <a:lumMod val="60000"/>
                    <a:lumOff val="40000"/>
                  </a:schemeClr>
                </a:solidFill>
                <a:prstDash val="solid"/>
                <a:round/>
              </a:ln>
              <a:effectLst>
                <a:outerShdw blurRad="50800" dist="38100" dir="5400000" algn="t" rotWithShape="0">
                  <a:schemeClr val="tx1">
                    <a:alpha val="40000"/>
                  </a:schemeClr>
                </a:outerShdw>
              </a:effectLst>
            </c:spPr>
            <c:extLst>
              <c:ext xmlns:c16="http://schemas.microsoft.com/office/drawing/2014/chart" uri="{C3380CC4-5D6E-409C-BE32-E72D297353CC}">
                <c16:uniqueId val="{00000001-895A-414E-B4FE-970DEEFB5A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Table'!$J$5:$J$12</c:f>
              <c:strCache>
                <c:ptCount val="7"/>
                <c:pt idx="0">
                  <c:v>Action Figure</c:v>
                </c:pt>
                <c:pt idx="1">
                  <c:v>Blender</c:v>
                </c:pt>
                <c:pt idx="2">
                  <c:v>Moisturizer</c:v>
                </c:pt>
                <c:pt idx="3">
                  <c:v>Novel</c:v>
                </c:pt>
                <c:pt idx="4">
                  <c:v>Smartphone</c:v>
                </c:pt>
                <c:pt idx="5">
                  <c:v>Sneakers</c:v>
                </c:pt>
                <c:pt idx="6">
                  <c:v>Tent</c:v>
                </c:pt>
              </c:strCache>
            </c:strRef>
          </c:cat>
          <c:val>
            <c:numRef>
              <c:f>'Pivot Table'!$K$5:$K$12</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2-895A-414E-B4FE-970DEEFB5A71}"/>
            </c:ext>
          </c:extLst>
        </c:ser>
        <c:dLbls>
          <c:dLblPos val="t"/>
          <c:showLegendKey val="0"/>
          <c:showVal val="1"/>
          <c:showCatName val="0"/>
          <c:showSerName val="0"/>
          <c:showPercent val="0"/>
          <c:showBubbleSize val="0"/>
        </c:dLbls>
        <c:marker val="1"/>
        <c:smooth val="0"/>
        <c:axId val="476979456"/>
        <c:axId val="476981952"/>
      </c:lineChart>
      <c:catAx>
        <c:axId val="476979456"/>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0" spcFirstLastPara="1" vertOverflow="ellipsis" wrap="square" anchor="ctr" anchorCtr="1"/>
          <a:lstStyle/>
          <a:p>
            <a:pPr>
              <a:defRPr sz="900" b="0" i="0" u="none" strike="noStrike" kern="1200" baseline="0">
                <a:ln w="0">
                  <a:solidFill>
                    <a:schemeClr val="bg1"/>
                  </a:solidFill>
                </a:ln>
                <a:solidFill>
                  <a:schemeClr val="bg1"/>
                </a:solidFill>
                <a:latin typeface="+mn-lt"/>
                <a:ea typeface="+mn-ea"/>
                <a:cs typeface="+mn-cs"/>
              </a:defRPr>
            </a:pPr>
            <a:endParaRPr lang="en-US"/>
          </a:p>
        </c:txPr>
        <c:crossAx val="476981952"/>
        <c:crosses val="autoZero"/>
        <c:auto val="1"/>
        <c:lblAlgn val="ctr"/>
        <c:lblOffset val="100"/>
        <c:noMultiLvlLbl val="0"/>
      </c:catAx>
      <c:valAx>
        <c:axId val="476981952"/>
        <c:scaling>
          <c:orientation val="minMax"/>
        </c:scaling>
        <c:delete val="1"/>
        <c:axPos val="l"/>
        <c:numFmt formatCode="General" sourceLinked="1"/>
        <c:majorTickMark val="out"/>
        <c:minorTickMark val="none"/>
        <c:tickLblPos val="nextTo"/>
        <c:crossAx val="476979456"/>
        <c:crosses val="autoZero"/>
        <c:crossBetween val="between"/>
      </c:valAx>
      <c:spPr>
        <a:noFill/>
        <a:ln>
          <a:solidFill>
            <a:schemeClr val="accent4">
              <a:lumMod val="60000"/>
              <a:lumOff val="40000"/>
            </a:schemeClr>
          </a:solid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Table!PivotTable3</c:name>
    <c:fmtId val="2"/>
  </c:pivotSource>
  <c:chart>
    <c:autoTitleDeleted val="1"/>
    <c:pivotFmts>
      <c:pivotFmt>
        <c:idx val="0"/>
      </c:pivotFmt>
      <c:pivotFmt>
        <c:idx val="1"/>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
          <c:y val="4.1224846894138238E-2"/>
          <c:w val="0.99450991295483793"/>
          <c:h val="0.78527376786235059"/>
        </c:manualLayout>
      </c:layout>
      <c:barChart>
        <c:barDir val="col"/>
        <c:grouping val="clustered"/>
        <c:varyColors val="0"/>
        <c:ser>
          <c:idx val="0"/>
          <c:order val="0"/>
          <c:tx>
            <c:strRef>
              <c:f>'Pivot Table'!$H$4</c:f>
              <c:strCache>
                <c:ptCount val="1"/>
                <c:pt idx="0">
                  <c:v>Total</c:v>
                </c:pt>
              </c:strCache>
            </c:strRef>
          </c:tx>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Table'!$G$5:$G$15</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Table'!$H$5:$H$15</c:f>
              <c:numCache>
                <c:formatCode>"Rs."\ ##\.##,\ "L"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39B2-43BC-BE0A-2CF3813E8EF4}"/>
            </c:ext>
          </c:extLst>
        </c:ser>
        <c:dLbls>
          <c:dLblPos val="outEnd"/>
          <c:showLegendKey val="0"/>
          <c:showVal val="1"/>
          <c:showCatName val="0"/>
          <c:showSerName val="0"/>
          <c:showPercent val="0"/>
          <c:showBubbleSize val="0"/>
        </c:dLbls>
        <c:gapWidth val="76"/>
        <c:overlap val="-54"/>
        <c:axId val="316428112"/>
        <c:axId val="316433936"/>
      </c:barChart>
      <c:catAx>
        <c:axId val="31642811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0" spcFirstLastPara="1" vertOverflow="ellipsis" wrap="square" anchor="b" anchorCtr="0"/>
          <a:lstStyle/>
          <a:p>
            <a:pPr>
              <a:defRPr sz="900" b="0" i="0" u="none" strike="noStrike" kern="1200" baseline="0">
                <a:ln w="3175">
                  <a:solidFill>
                    <a:schemeClr val="bg1"/>
                  </a:solidFill>
                </a:ln>
                <a:solidFill>
                  <a:schemeClr val="bg1"/>
                </a:solidFill>
                <a:latin typeface="+mn-lt"/>
                <a:ea typeface="+mn-ea"/>
                <a:cs typeface="+mn-cs"/>
              </a:defRPr>
            </a:pPr>
            <a:endParaRPr lang="en-US"/>
          </a:p>
        </c:txPr>
        <c:crossAx val="316433936"/>
        <c:crosses val="autoZero"/>
        <c:auto val="1"/>
        <c:lblAlgn val="ctr"/>
        <c:lblOffset val="100"/>
        <c:noMultiLvlLbl val="0"/>
      </c:catAx>
      <c:valAx>
        <c:axId val="316433936"/>
        <c:scaling>
          <c:orientation val="minMax"/>
        </c:scaling>
        <c:delete val="1"/>
        <c:axPos val="l"/>
        <c:majorGridlines>
          <c:spPr>
            <a:ln w="9525" cap="flat" cmpd="sng" algn="ctr">
              <a:solidFill>
                <a:schemeClr val="lt1">
                  <a:lumMod val="95000"/>
                  <a:alpha val="10000"/>
                </a:schemeClr>
              </a:solidFill>
              <a:round/>
            </a:ln>
            <a:effectLst/>
          </c:spPr>
        </c:majorGridlines>
        <c:numFmt formatCode="&quot;Rs.&quot;\ ##\.##,\ &quot;L&quot;" sourceLinked="1"/>
        <c:majorTickMark val="out"/>
        <c:minorTickMark val="none"/>
        <c:tickLblPos val="nextTo"/>
        <c:crossAx val="31642811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Table!PivotTable2</c:name>
    <c:fmtId val="3"/>
  </c:pivotSource>
  <c:chart>
    <c:autoTitleDeleted val="1"/>
    <c:pivotFmts>
      <c:pivotFmt>
        <c:idx val="0"/>
      </c:pivotFmt>
      <c:pivotFmt>
        <c:idx val="1"/>
        <c:spPr>
          <a:solidFill>
            <a:schemeClr val="accent6">
              <a:lumMod val="60000"/>
              <a:lumOff val="40000"/>
            </a:schemeClr>
          </a:solidFill>
          <a:ln>
            <a:noFill/>
          </a:ln>
          <a:effectLst>
            <a:outerShdw blurRad="57150" dist="19050" dir="5400000" algn="ctr" rotWithShape="0">
              <a:schemeClr val="tx1">
                <a:alpha val="63000"/>
              </a:scheme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outerShdw blurRad="57150" dist="19050" dir="5400000" algn="ctr" rotWithShape="0">
              <a:schemeClr val="tx1">
                <a:alpha val="63000"/>
              </a:scheme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a:outerShdw blurRad="57150" dist="19050" dir="5400000" algn="ctr" rotWithShape="0">
              <a:schemeClr val="tx1">
                <a:alpha val="63000"/>
              </a:schemeClr>
            </a:outerShdw>
          </a:effectLst>
          <a:scene3d>
            <a:camera prst="orthographicFront"/>
            <a:lightRig rig="threePt" dir="t"/>
          </a:scene3d>
          <a:sp3d prstMaterial="matte"/>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31936428002121"/>
          <c:y val="6.5864299336642104E-2"/>
          <c:w val="0.74729280386470776"/>
          <c:h val="0.86692428636584951"/>
        </c:manualLayout>
      </c:layout>
      <c:barChart>
        <c:barDir val="bar"/>
        <c:grouping val="clustered"/>
        <c:varyColors val="0"/>
        <c:ser>
          <c:idx val="0"/>
          <c:order val="0"/>
          <c:tx>
            <c:strRef>
              <c:f>'Pivot Table'!$E$3</c:f>
              <c:strCache>
                <c:ptCount val="1"/>
                <c:pt idx="0">
                  <c:v>Total</c:v>
                </c:pt>
              </c:strCache>
            </c:strRef>
          </c:tx>
          <c:spPr>
            <a:solidFill>
              <a:schemeClr val="accent6">
                <a:lumMod val="60000"/>
                <a:lumOff val="40000"/>
              </a:schemeClr>
            </a:solidFill>
            <a:ln>
              <a:noFill/>
            </a:ln>
            <a:effectLst>
              <a:outerShdw blurRad="57150" dist="19050" dir="5400000" algn="ctr" rotWithShape="0">
                <a:schemeClr val="tx1">
                  <a:alpha val="63000"/>
                </a:schemeClr>
              </a:outerShdw>
            </a:effectLst>
            <a:scene3d>
              <a:camera prst="orthographicFront"/>
              <a:lightRig rig="threePt" dir="t"/>
            </a:scene3d>
            <a:sp3d prstMaterial="matte"/>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3175">
                      <a:no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Table'!$D$4:$D$11</c:f>
              <c:strCache>
                <c:ptCount val="7"/>
                <c:pt idx="0">
                  <c:v>Action Figure</c:v>
                </c:pt>
                <c:pt idx="1">
                  <c:v>Blender</c:v>
                </c:pt>
                <c:pt idx="2">
                  <c:v>Moisturizer</c:v>
                </c:pt>
                <c:pt idx="3">
                  <c:v>Novel</c:v>
                </c:pt>
                <c:pt idx="4">
                  <c:v>Smartphone</c:v>
                </c:pt>
                <c:pt idx="5">
                  <c:v>Sneakers</c:v>
                </c:pt>
                <c:pt idx="6">
                  <c:v>Tent</c:v>
                </c:pt>
              </c:strCache>
            </c:strRef>
          </c:cat>
          <c:val>
            <c:numRef>
              <c:f>'Pivot Table'!$E$4:$E$11</c:f>
              <c:numCache>
                <c:formatCode>"Rs."\ ##\.##,\ "L"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D256-4E39-8AFC-D62D8344847F}"/>
            </c:ext>
          </c:extLst>
        </c:ser>
        <c:dLbls>
          <c:dLblPos val="outEnd"/>
          <c:showLegendKey val="0"/>
          <c:showVal val="1"/>
          <c:showCatName val="0"/>
          <c:showSerName val="0"/>
          <c:showPercent val="0"/>
          <c:showBubbleSize val="0"/>
        </c:dLbls>
        <c:gapWidth val="60"/>
        <c:overlap val="-77"/>
        <c:axId val="444203504"/>
        <c:axId val="444204336"/>
      </c:barChart>
      <c:catAx>
        <c:axId val="4442035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w="3175">
                  <a:solidFill>
                    <a:schemeClr val="bg1"/>
                  </a:solidFill>
                </a:ln>
                <a:solidFill>
                  <a:schemeClr val="bg1"/>
                </a:solidFill>
                <a:latin typeface="+mn-lt"/>
                <a:ea typeface="+mn-ea"/>
                <a:cs typeface="+mn-cs"/>
              </a:defRPr>
            </a:pPr>
            <a:endParaRPr lang="en-US"/>
          </a:p>
        </c:txPr>
        <c:crossAx val="444204336"/>
        <c:crosses val="autoZero"/>
        <c:auto val="1"/>
        <c:lblAlgn val="ctr"/>
        <c:lblOffset val="100"/>
        <c:noMultiLvlLbl val="0"/>
      </c:catAx>
      <c:valAx>
        <c:axId val="444204336"/>
        <c:scaling>
          <c:orientation val="minMax"/>
        </c:scaling>
        <c:delete val="1"/>
        <c:axPos val="b"/>
        <c:majorGridlines>
          <c:spPr>
            <a:ln w="9525" cap="flat" cmpd="sng" algn="ctr">
              <a:solidFill>
                <a:schemeClr val="lt1">
                  <a:lumMod val="95000"/>
                  <a:alpha val="10000"/>
                </a:schemeClr>
              </a:solidFill>
              <a:round/>
            </a:ln>
            <a:effectLst/>
          </c:spPr>
        </c:majorGridlines>
        <c:numFmt formatCode="&quot;Rs.&quot;\ ##\.##,\ &quot;L&quot;" sourceLinked="1"/>
        <c:majorTickMark val="none"/>
        <c:minorTickMark val="none"/>
        <c:tickLblPos val="nextTo"/>
        <c:crossAx val="4442035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 Table!PivotTable1</c:name>
    <c:fmtId val="2"/>
  </c:pivotSource>
  <c:chart>
    <c:autoTitleDeleted val="1"/>
    <c:pivotFmts>
      <c:pivotFmt>
        <c:idx val="0"/>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tx1"/>
            </a:solidFill>
          </a:ln>
          <a:effectLst>
            <a:outerShdw blurRad="57150" dist="19050" dir="5400000" algn="ctr" rotWithShape="0">
              <a:srgbClr val="000000">
                <a:alpha val="63000"/>
              </a:srgbClr>
            </a:outerShdw>
          </a:effectLst>
        </c:spPr>
        <c:dLbl>
          <c:idx val="0"/>
          <c:layout>
            <c:manualLayout>
              <c:x val="0.16221374045801526"/>
              <c:y val="-4.1666666666666678E-2"/>
            </c:manualLayout>
          </c:layout>
          <c:showLegendKey val="0"/>
          <c:showVal val="1"/>
          <c:showCatName val="0"/>
          <c:showSerName val="0"/>
          <c:showPercent val="0"/>
          <c:showBubbleSize val="0"/>
          <c:extLst>
            <c:ext xmlns:c15="http://schemas.microsoft.com/office/drawing/2012/chart" uri="{CE6537A1-D6FC-4f65-9D91-7224C49458BB}">
              <c15:layout>
                <c:manualLayout>
                  <c:w val="0.23091603053435114"/>
                  <c:h val="0.10833333333333331"/>
                </c:manualLayout>
              </c15:layout>
            </c:ext>
          </c:extLst>
        </c:dLbl>
      </c:pivotFmt>
      <c:pivotFmt>
        <c:idx val="3"/>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chemeClr val="tx1"/>
            </a:solidFill>
          </a:ln>
          <a:effectLst>
            <a:outerShdw blurRad="57150" dist="19050" dir="5400000" algn="ctr" rotWithShape="0">
              <a:srgbClr val="000000">
                <a:alpha val="63000"/>
              </a:srgbClr>
            </a:outerShdw>
          </a:effectLst>
        </c:spPr>
        <c:dLbl>
          <c:idx val="0"/>
          <c:layout>
            <c:manualLayout>
              <c:x val="-0.13517811704834609"/>
              <c:y val="-6.4814814814814825E-2"/>
            </c:manualLayout>
          </c:layout>
          <c:showLegendKey val="0"/>
          <c:showVal val="1"/>
          <c:showCatName val="0"/>
          <c:showSerName val="0"/>
          <c:showPercent val="0"/>
          <c:showBubbleSize val="0"/>
          <c:extLst>
            <c:ext xmlns:c15="http://schemas.microsoft.com/office/drawing/2012/chart" uri="{CE6537A1-D6FC-4f65-9D91-7224C49458BB}">
              <c15:layout>
                <c:manualLayout>
                  <c:w val="0.20865139949109412"/>
                  <c:h val="0.10833333333333331"/>
                </c:manualLayout>
              </c15:layout>
            </c:ext>
          </c:extLst>
        </c:dLbl>
      </c:pivotFmt>
      <c:pivotFmt>
        <c:idx val="4"/>
        <c:spPr>
          <a:gradFill flip="none" rotWithShape="1">
            <a:gsLst>
              <a:gs pos="66000">
                <a:srgbClr val="FF0000"/>
              </a:gs>
              <a:gs pos="2000">
                <a:srgbClr val="FC7A7A"/>
              </a:gs>
              <a:gs pos="0">
                <a:srgbClr val="F8F4F4"/>
              </a:gs>
              <a:gs pos="74000">
                <a:srgbClr val="FF0000"/>
              </a:gs>
            </a:gsLst>
            <a:lin ang="5400000" scaled="1"/>
            <a:tileRect/>
          </a:gradFill>
          <a:ln>
            <a:solidFill>
              <a:schemeClr val="tx1"/>
            </a:solidFill>
          </a:ln>
          <a:effectLst>
            <a:outerShdw blurRad="57150" dist="19050" dir="5400000" algn="ctr" rotWithShape="0">
              <a:srgbClr val="000000">
                <a:alpha val="63000"/>
              </a:srgbClr>
            </a:outerShdw>
          </a:effectLst>
        </c:spPr>
        <c:dLbl>
          <c:idx val="0"/>
          <c:layout>
            <c:manualLayout>
              <c:x val="-0.18606870229007633"/>
              <c:y val="4.6296114027413238E-2"/>
            </c:manualLayout>
          </c:layout>
          <c:showLegendKey val="0"/>
          <c:showVal val="1"/>
          <c:showCatName val="0"/>
          <c:showSerName val="0"/>
          <c:showPercent val="0"/>
          <c:showBubbleSize val="0"/>
          <c:extLst>
            <c:ext xmlns:c15="http://schemas.microsoft.com/office/drawing/2012/chart" uri="{CE6537A1-D6FC-4f65-9D91-7224C49458BB}">
              <c15:layout>
                <c:manualLayout>
                  <c:w val="0.25954198473282442"/>
                  <c:h val="0.10833333333333331"/>
                </c:manualLayout>
              </c15:layout>
            </c:ext>
          </c:extLst>
        </c:dLbl>
      </c:pivotFmt>
      <c:pivotFmt>
        <c:idx val="5"/>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a:outerShdw blurRad="57150" dist="19050" dir="5400000" algn="ctr" rotWithShape="0">
              <a:srgbClr val="000000">
                <a:alpha val="63000"/>
              </a:srgbClr>
            </a:outerShdw>
          </a:effectLst>
        </c:spPr>
        <c:dLbl>
          <c:idx val="0"/>
          <c:layout>
            <c:manualLayout>
              <c:x val="0.18765903307888038"/>
              <c:y val="2.77777777777778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2773536895674"/>
                  <c:h val="0.10833333333333331"/>
                </c:manualLayout>
              </c15:layout>
            </c:ext>
          </c:extLst>
        </c:dLbl>
      </c:pivotFmt>
      <c:pivotFmt>
        <c:idx val="6"/>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chemeClr val="tx1"/>
            </a:solidFill>
          </a:ln>
          <a:effectLst>
            <a:outerShdw blurRad="57150" dist="19050" dir="5400000" algn="ctr" rotWithShape="0">
              <a:srgbClr val="000000">
                <a:alpha val="63000"/>
              </a:srgbClr>
            </a:outerShdw>
          </a:effectLst>
        </c:spPr>
        <c:dLbl>
          <c:idx val="0"/>
          <c:layout>
            <c:manualLayout>
              <c:x val="-0.18665831357422386"/>
              <c:y val="-6.48147363465159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26132206447171"/>
                  <c:h val="0.10833333333333332"/>
                </c:manualLayout>
              </c15:layout>
            </c:ext>
          </c:extLst>
        </c:dLbl>
      </c:pivotFmt>
      <c:pivotFmt>
        <c:idx val="7"/>
        <c:spPr>
          <a:gradFill flip="none" rotWithShape="1">
            <a:gsLst>
              <a:gs pos="66000">
                <a:srgbClr val="FF0000"/>
              </a:gs>
              <a:gs pos="2000">
                <a:srgbClr val="FC7A7A"/>
              </a:gs>
              <a:gs pos="0">
                <a:srgbClr val="F8F4F4"/>
              </a:gs>
              <a:gs pos="74000">
                <a:srgbClr val="FF0000"/>
              </a:gs>
            </a:gsLst>
            <a:lin ang="5400000" scaled="1"/>
            <a:tileRect/>
          </a:gradFill>
          <a:ln>
            <a:solidFill>
              <a:schemeClr val="tx1"/>
            </a:solidFill>
          </a:ln>
          <a:effectLst>
            <a:outerShdw blurRad="57150" dist="19050" dir="5400000" algn="ctr" rotWithShape="0">
              <a:srgbClr val="000000">
                <a:alpha val="63000"/>
              </a:srgbClr>
            </a:outerShdw>
          </a:effectLst>
        </c:spPr>
        <c:dLbl>
          <c:idx val="0"/>
          <c:layout>
            <c:manualLayout>
              <c:x val="-0.22789613291581795"/>
              <c:y val="5.82544726930319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954198473282442"/>
                  <c:h val="0.10833333333333331"/>
                </c:manualLayout>
              </c15:layout>
            </c:ext>
          </c:extLst>
        </c:dLbl>
      </c:pivotFmt>
      <c:pivotFmt>
        <c:idx val="8"/>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a:outerShdw blurRad="57150" dist="19050" dir="5400000" algn="ctr" rotWithShape="0">
              <a:srgbClr val="000000">
                <a:alpha val="63000"/>
              </a:srgbClr>
            </a:outerShdw>
          </a:effectLst>
        </c:spPr>
        <c:dLbl>
          <c:idx val="0"/>
          <c:layout>
            <c:manualLayout>
              <c:x val="0.22305163712644027"/>
              <c:y val="7.5612288135593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2773536895674"/>
                  <c:h val="0.10833333333333331"/>
                </c:manualLayout>
              </c15:layout>
            </c:ext>
          </c:extLst>
        </c:dLbl>
      </c:pivotFmt>
      <c:pivotFmt>
        <c:idx val="9"/>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tx1"/>
            </a:solidFill>
          </a:ln>
          <a:effectLst>
            <a:outerShdw blurRad="57150" dist="19050" dir="5400000" algn="ctr" rotWithShape="0">
              <a:srgbClr val="000000">
                <a:alpha val="63000"/>
              </a:srgbClr>
            </a:outerShdw>
          </a:effectLst>
        </c:spPr>
        <c:dLbl>
          <c:idx val="0"/>
          <c:layout>
            <c:manualLayout>
              <c:x val="0.20404126004519693"/>
              <c:y val="-4.16664312617702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91603053435114"/>
                  <c:h val="0.10833333333333331"/>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tx1"/>
            </a:solidFill>
          </a:ln>
          <a:effectLst>
            <a:outerShdw blurRad="57150" dist="19050" dir="5400000" algn="ctr" rotWithShape="0">
              <a:srgbClr val="000000">
                <a:alpha val="63000"/>
              </a:srgbClr>
            </a:outerShdw>
          </a:effectLst>
        </c:spPr>
        <c:dLbl>
          <c:idx val="0"/>
          <c:layout>
            <c:manualLayout>
              <c:x val="0.20404126004519693"/>
              <c:y val="-4.16664312617702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91603053435114"/>
                  <c:h val="0.10833333333333331"/>
                </c:manualLayout>
              </c15:layout>
            </c:ext>
          </c:extLst>
        </c:dLbl>
      </c:pivotFmt>
      <c:pivotFmt>
        <c:idx val="13"/>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a:outerShdw blurRad="57150" dist="19050" dir="5400000" algn="ctr" rotWithShape="0">
              <a:srgbClr val="000000">
                <a:alpha val="63000"/>
              </a:srgbClr>
            </a:outerShdw>
          </a:effectLst>
        </c:spPr>
        <c:dLbl>
          <c:idx val="0"/>
          <c:layout>
            <c:manualLayout>
              <c:x val="0.22305163712644027"/>
              <c:y val="7.5612288135593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2773536895674"/>
                  <c:h val="0.10833333333333331"/>
                </c:manualLayout>
              </c15:layout>
            </c:ext>
          </c:extLst>
        </c:dLbl>
      </c:pivotFmt>
      <c:pivotFmt>
        <c:idx val="14"/>
        <c:spPr>
          <a:gradFill flip="none" rotWithShape="1">
            <a:gsLst>
              <a:gs pos="66000">
                <a:srgbClr val="FF0000"/>
              </a:gs>
              <a:gs pos="2000">
                <a:srgbClr val="FC7A7A"/>
              </a:gs>
              <a:gs pos="0">
                <a:srgbClr val="F8F4F4"/>
              </a:gs>
              <a:gs pos="74000">
                <a:srgbClr val="FF0000"/>
              </a:gs>
            </a:gsLst>
            <a:lin ang="5400000" scaled="1"/>
            <a:tileRect/>
          </a:gradFill>
          <a:ln>
            <a:solidFill>
              <a:schemeClr val="tx1"/>
            </a:solidFill>
          </a:ln>
          <a:effectLst>
            <a:outerShdw blurRad="57150" dist="19050" dir="5400000" algn="ctr" rotWithShape="0">
              <a:srgbClr val="000000">
                <a:alpha val="63000"/>
              </a:srgbClr>
            </a:outerShdw>
          </a:effectLst>
        </c:spPr>
        <c:dLbl>
          <c:idx val="0"/>
          <c:layout>
            <c:manualLayout>
              <c:x val="-0.22789613291581795"/>
              <c:y val="5.82544726930319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954198473282442"/>
                  <c:h val="0.10833333333333331"/>
                </c:manualLayout>
              </c15:layout>
            </c:ext>
          </c:extLst>
        </c:dLbl>
      </c:pivotFmt>
      <c:pivotFmt>
        <c:idx val="15"/>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chemeClr val="tx1"/>
            </a:solidFill>
          </a:ln>
          <a:effectLst>
            <a:outerShdw blurRad="57150" dist="19050" dir="5400000" algn="ctr" rotWithShape="0">
              <a:srgbClr val="000000">
                <a:alpha val="63000"/>
              </a:srgbClr>
            </a:outerShdw>
          </a:effectLst>
        </c:spPr>
        <c:dLbl>
          <c:idx val="0"/>
          <c:layout>
            <c:manualLayout>
              <c:x val="-0.18665831357422386"/>
              <c:y val="-6.48147363465159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26132206447171"/>
                  <c:h val="0.10833333333333332"/>
                </c:manualLayout>
              </c15:layout>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tx1"/>
            </a:solidFill>
          </a:ln>
          <a:effectLst>
            <a:outerShdw blurRad="57150" dist="19050" dir="5400000" algn="ctr" rotWithShape="0">
              <a:srgbClr val="000000">
                <a:alpha val="63000"/>
              </a:srgbClr>
            </a:outerShdw>
          </a:effectLst>
        </c:spPr>
        <c:dLbl>
          <c:idx val="0"/>
          <c:layout>
            <c:manualLayout>
              <c:x val="0.20404126004519693"/>
              <c:y val="-4.16664312617702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091603053435114"/>
                  <c:h val="0.10833333333333331"/>
                </c:manualLayout>
              </c15:layout>
            </c:ext>
          </c:extLst>
        </c:dLbl>
      </c:pivotFmt>
      <c:pivotFmt>
        <c:idx val="18"/>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a:outerShdw blurRad="57150" dist="19050" dir="5400000" algn="ctr" rotWithShape="0">
              <a:srgbClr val="000000">
                <a:alpha val="63000"/>
              </a:srgbClr>
            </a:outerShdw>
          </a:effectLst>
        </c:spPr>
        <c:dLbl>
          <c:idx val="0"/>
          <c:layout>
            <c:manualLayout>
              <c:x val="0.22305163712644027"/>
              <c:y val="7.5612288135593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2773536895674"/>
                  <c:h val="0.10833333333333331"/>
                </c:manualLayout>
              </c15:layout>
            </c:ext>
          </c:extLst>
        </c:dLbl>
      </c:pivotFmt>
      <c:pivotFmt>
        <c:idx val="19"/>
        <c:spPr>
          <a:gradFill flip="none" rotWithShape="1">
            <a:gsLst>
              <a:gs pos="66000">
                <a:srgbClr val="FF0000"/>
              </a:gs>
              <a:gs pos="2000">
                <a:srgbClr val="FC7A7A"/>
              </a:gs>
              <a:gs pos="0">
                <a:srgbClr val="F8F4F4"/>
              </a:gs>
              <a:gs pos="74000">
                <a:srgbClr val="FF0000"/>
              </a:gs>
            </a:gsLst>
            <a:lin ang="5400000" scaled="1"/>
            <a:tileRect/>
          </a:gradFill>
          <a:ln>
            <a:solidFill>
              <a:schemeClr val="tx1"/>
            </a:solidFill>
          </a:ln>
          <a:effectLst>
            <a:outerShdw blurRad="57150" dist="19050" dir="5400000" algn="ctr" rotWithShape="0">
              <a:srgbClr val="000000">
                <a:alpha val="63000"/>
              </a:srgbClr>
            </a:outerShdw>
          </a:effectLst>
        </c:spPr>
        <c:dLbl>
          <c:idx val="0"/>
          <c:layout>
            <c:manualLayout>
              <c:x val="-0.22789613291581795"/>
              <c:y val="5.82544726930319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954198473282442"/>
                  <c:h val="0.10833333333333331"/>
                </c:manualLayout>
              </c15:layout>
            </c:ext>
          </c:extLst>
        </c:dLbl>
      </c:pivotFmt>
      <c:pivotFmt>
        <c:idx val="2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chemeClr val="tx1"/>
            </a:solidFill>
          </a:ln>
          <a:effectLst>
            <a:outerShdw blurRad="57150" dist="19050" dir="5400000" algn="ctr" rotWithShape="0">
              <a:srgbClr val="000000">
                <a:alpha val="63000"/>
              </a:srgbClr>
            </a:outerShdw>
          </a:effectLst>
        </c:spPr>
        <c:dLbl>
          <c:idx val="0"/>
          <c:layout>
            <c:manualLayout>
              <c:x val="-0.18665831357422386"/>
              <c:y val="-6.48147363465159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26132206447171"/>
                  <c:h val="0.10833333333333332"/>
                </c:manualLayout>
              </c15:layout>
            </c:ext>
          </c:extLst>
        </c:dLbl>
      </c:pivotFmt>
    </c:pivotFmts>
    <c:plotArea>
      <c:layout>
        <c:manualLayout>
          <c:layoutTarget val="inner"/>
          <c:xMode val="edge"/>
          <c:yMode val="edge"/>
          <c:x val="0.33856846806487095"/>
          <c:y val="9.3018252915755578E-2"/>
          <c:w val="0.35237506460528045"/>
          <c:h val="0.67362372434275797"/>
        </c:manualLayout>
      </c:layout>
      <c:doughnutChart>
        <c:varyColors val="1"/>
        <c:ser>
          <c:idx val="0"/>
          <c:order val="0"/>
          <c:tx>
            <c:strRef>
              <c:f>'Pivot Table'!$B$3</c:f>
              <c:strCache>
                <c:ptCount val="1"/>
                <c:pt idx="0">
                  <c:v>Total</c:v>
                </c:pt>
              </c:strCache>
            </c:strRef>
          </c:tx>
          <c:dPt>
            <c:idx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09F-4831-A4AD-02D9603E3B05}"/>
              </c:ext>
            </c:extLst>
          </c:dPt>
          <c:dPt>
            <c:idx val="1"/>
            <c:bubble3D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09F-4831-A4AD-02D9603E3B05}"/>
              </c:ext>
            </c:extLst>
          </c:dPt>
          <c:dPt>
            <c:idx val="2"/>
            <c:bubble3D val="0"/>
            <c:spPr>
              <a:gradFill flip="none" rotWithShape="1">
                <a:gsLst>
                  <a:gs pos="66000">
                    <a:srgbClr val="FF0000"/>
                  </a:gs>
                  <a:gs pos="2000">
                    <a:srgbClr val="FC7A7A"/>
                  </a:gs>
                  <a:gs pos="0">
                    <a:srgbClr val="F8F4F4"/>
                  </a:gs>
                  <a:gs pos="74000">
                    <a:srgbClr val="FF0000"/>
                  </a:gs>
                </a:gsLst>
                <a:lin ang="5400000" scaled="1"/>
                <a:tileRect/>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09F-4831-A4AD-02D9603E3B05}"/>
              </c:ext>
            </c:extLst>
          </c:dPt>
          <c:dPt>
            <c:idx val="3"/>
            <c:bubble3D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09F-4831-A4AD-02D9603E3B05}"/>
              </c:ext>
            </c:extLst>
          </c:dPt>
          <c:dLbls>
            <c:dLbl>
              <c:idx val="0"/>
              <c:layout>
                <c:manualLayout>
                  <c:x val="0.20404126004519693"/>
                  <c:y val="-4.1666431261770248E-2"/>
                </c:manualLayout>
              </c:layout>
              <c:showLegendKey val="0"/>
              <c:showVal val="1"/>
              <c:showCatName val="0"/>
              <c:showSerName val="0"/>
              <c:showPercent val="0"/>
              <c:showBubbleSize val="0"/>
              <c:extLst>
                <c:ext xmlns:c15="http://schemas.microsoft.com/office/drawing/2012/chart" uri="{CE6537A1-D6FC-4f65-9D91-7224C49458BB}">
                  <c15:layout>
                    <c:manualLayout>
                      <c:w val="0.23091603053435114"/>
                      <c:h val="0.10833333333333331"/>
                    </c:manualLayout>
                  </c15:layout>
                </c:ext>
                <c:ext xmlns:c16="http://schemas.microsoft.com/office/drawing/2014/chart" uri="{C3380CC4-5D6E-409C-BE32-E72D297353CC}">
                  <c16:uniqueId val="{00000001-809F-4831-A4AD-02D9603E3B05}"/>
                </c:ext>
              </c:extLst>
            </c:dLbl>
            <c:dLbl>
              <c:idx val="1"/>
              <c:layout>
                <c:manualLayout>
                  <c:x val="0.22305163712644027"/>
                  <c:y val="7.5612288135593217E-2"/>
                </c:manualLayout>
              </c:layout>
              <c:showLegendKey val="0"/>
              <c:showVal val="1"/>
              <c:showCatName val="0"/>
              <c:showSerName val="0"/>
              <c:showPercent val="0"/>
              <c:showBubbleSize val="0"/>
              <c:extLst>
                <c:ext xmlns:c15="http://schemas.microsoft.com/office/drawing/2012/chart" uri="{CE6537A1-D6FC-4f65-9D91-7224C49458BB}">
                  <c15:layout>
                    <c:manualLayout>
                      <c:w val="0.2372773536895674"/>
                      <c:h val="0.10833333333333331"/>
                    </c:manualLayout>
                  </c15:layout>
                </c:ext>
                <c:ext xmlns:c16="http://schemas.microsoft.com/office/drawing/2014/chart" uri="{C3380CC4-5D6E-409C-BE32-E72D297353CC}">
                  <c16:uniqueId val="{00000003-809F-4831-A4AD-02D9603E3B05}"/>
                </c:ext>
              </c:extLst>
            </c:dLbl>
            <c:dLbl>
              <c:idx val="2"/>
              <c:layout>
                <c:manualLayout>
                  <c:x val="-0.22789613291581795"/>
                  <c:y val="5.8254472693031904E-2"/>
                </c:manualLayout>
              </c:layout>
              <c:showLegendKey val="0"/>
              <c:showVal val="1"/>
              <c:showCatName val="0"/>
              <c:showSerName val="0"/>
              <c:showPercent val="0"/>
              <c:showBubbleSize val="0"/>
              <c:extLst>
                <c:ext xmlns:c15="http://schemas.microsoft.com/office/drawing/2012/chart" uri="{CE6537A1-D6FC-4f65-9D91-7224C49458BB}">
                  <c15:layout>
                    <c:manualLayout>
                      <c:w val="0.25954198473282442"/>
                      <c:h val="0.10833333333333331"/>
                    </c:manualLayout>
                  </c15:layout>
                </c:ext>
                <c:ext xmlns:c16="http://schemas.microsoft.com/office/drawing/2014/chart" uri="{C3380CC4-5D6E-409C-BE32-E72D297353CC}">
                  <c16:uniqueId val="{00000005-809F-4831-A4AD-02D9603E3B05}"/>
                </c:ext>
              </c:extLst>
            </c:dLbl>
            <c:dLbl>
              <c:idx val="3"/>
              <c:layout>
                <c:manualLayout>
                  <c:x val="-0.18665831357422386"/>
                  <c:y val="-6.4814736346515966E-2"/>
                </c:manualLayout>
              </c:layout>
              <c:showLegendKey val="0"/>
              <c:showVal val="1"/>
              <c:showCatName val="0"/>
              <c:showSerName val="0"/>
              <c:showPercent val="0"/>
              <c:showBubbleSize val="0"/>
              <c:extLst>
                <c:ext xmlns:c15="http://schemas.microsoft.com/office/drawing/2012/chart" uri="{CE6537A1-D6FC-4f65-9D91-7224C49458BB}">
                  <c15:layout>
                    <c:manualLayout>
                      <c:w val="0.24726132206447171"/>
                      <c:h val="0.10833333333333332"/>
                    </c:manualLayout>
                  </c15:layout>
                </c:ext>
                <c:ext xmlns:c16="http://schemas.microsoft.com/office/drawing/2014/chart" uri="{C3380CC4-5D6E-409C-BE32-E72D297353CC}">
                  <c16:uniqueId val="{00000007-809F-4831-A4AD-02D9603E3B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"Rs."\ ##\.##,\ "L"</c:formatCode>
                <c:ptCount val="4"/>
                <c:pt idx="0">
                  <c:v>3534400</c:v>
                </c:pt>
                <c:pt idx="1">
                  <c:v>2661400</c:v>
                </c:pt>
                <c:pt idx="2">
                  <c:v>2870600</c:v>
                </c:pt>
                <c:pt idx="3">
                  <c:v>3878100</c:v>
                </c:pt>
              </c:numCache>
            </c:numRef>
          </c:val>
          <c:extLst>
            <c:ext xmlns:c16="http://schemas.microsoft.com/office/drawing/2014/chart" uri="{C3380CC4-5D6E-409C-BE32-E72D297353CC}">
              <c16:uniqueId val="{00000008-809F-4831-A4AD-02D9603E3B05}"/>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ln>
                <a:solidFill>
                  <a:sysClr val="window" lastClr="FFFFFF"/>
                </a:solidFill>
              </a:ln>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327660</xdr:colOff>
      <xdr:row>11</xdr:row>
      <xdr:rowOff>95250</xdr:rowOff>
    </xdr:from>
    <xdr:to>
      <xdr:col>4</xdr:col>
      <xdr:colOff>495300</xdr:colOff>
      <xdr:row>23</xdr:row>
      <xdr:rowOff>116130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716280</xdr:colOff>
      <xdr:row>17</xdr:row>
      <xdr:rowOff>87630</xdr:rowOff>
    </xdr:from>
    <xdr:to>
      <xdr:col>12</xdr:col>
      <xdr:colOff>281940</xdr:colOff>
      <xdr:row>30</xdr:row>
      <xdr:rowOff>30480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396240</xdr:colOff>
      <xdr:row>1</xdr:row>
      <xdr:rowOff>45720</xdr:rowOff>
    </xdr:from>
    <xdr:to>
      <xdr:col>15</xdr:col>
      <xdr:colOff>449580</xdr:colOff>
      <xdr:row>16</xdr:row>
      <xdr:rowOff>160020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571500</xdr:colOff>
      <xdr:row>0</xdr:row>
      <xdr:rowOff>0</xdr:rowOff>
    </xdr:from>
    <xdr:to>
      <xdr:col>17</xdr:col>
      <xdr:colOff>53340</xdr:colOff>
      <xdr:row>14</xdr:row>
      <xdr:rowOff>34290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541020</xdr:colOff>
      <xdr:row>1</xdr:row>
      <xdr:rowOff>106680</xdr:rowOff>
    </xdr:from>
    <xdr:to>
      <xdr:col>17</xdr:col>
      <xdr:colOff>358140</xdr:colOff>
      <xdr:row>15</xdr:row>
      <xdr:rowOff>120015</xdr:rowOff>
    </xdr:to>
    <mc:AlternateContent xmlns:mc="http://schemas.openxmlformats.org/markup-compatibility/2006">
      <mc:Choice xmlns:a14="http://schemas.microsoft.com/office/drawing/2010/main" Requires="a14">
        <xdr:graphicFrame macro="">
          <xdr:nvGraphicFramePr>
            <xdr:cNvPr id="3" name="Sales Person"/>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13182600" y="281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129540</xdr:colOff>
      <xdr:row>4</xdr:row>
      <xdr:rowOff>7621</xdr:rowOff>
    </xdr:from>
    <xdr:to>
      <xdr:col>13</xdr:col>
      <xdr:colOff>617220</xdr:colOff>
      <xdr:row>8</xdr:row>
      <xdr:rowOff>15240</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759440" y="708661"/>
              <a:ext cx="1828800" cy="708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388620</xdr:colOff>
      <xdr:row>16</xdr:row>
      <xdr:rowOff>45721</xdr:rowOff>
    </xdr:from>
    <xdr:to>
      <xdr:col>17</xdr:col>
      <xdr:colOff>205740</xdr:colOff>
      <xdr:row>24</xdr:row>
      <xdr:rowOff>1</xdr:rowOff>
    </xdr:to>
    <mc:AlternateContent xmlns:mc="http://schemas.openxmlformats.org/markup-compatibility/2006">
      <mc:Choice xmlns:a14="http://schemas.microsoft.com/office/drawing/2010/main" Requires="a14">
        <xdr:graphicFrame macro="">
          <xdr:nvGraphicFramePr>
            <xdr:cNvPr id="8"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030200" y="2849881"/>
              <a:ext cx="182880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38099</xdr:colOff>
      <xdr:row>0</xdr:row>
      <xdr:rowOff>7620</xdr:rowOff>
    </xdr:from>
    <xdr:to>
      <xdr:col>19</xdr:col>
      <xdr:colOff>587565</xdr:colOff>
      <xdr:row>4</xdr:row>
      <xdr:rowOff>76200</xdr:rowOff>
    </xdr:to>
    <xdr:sp macro="" textlink="">
      <xdr:nvSpPr>
        <xdr:cNvPr id="2" name="Rounded Rectangle 1"/>
        <xdr:cNvSpPr/>
      </xdr:nvSpPr>
      <xdr:spPr>
        <a:xfrm>
          <a:off x="38099" y="7620"/>
          <a:ext cx="13283129" cy="766315"/>
        </a:xfrm>
        <a:prstGeom prst="roundRect">
          <a:avLst/>
        </a:prstGeom>
        <a:solidFill>
          <a:schemeClr val="tx1">
            <a:lumMod val="85000"/>
            <a:lumOff val="15000"/>
          </a:schemeClr>
        </a:solidFill>
        <a:ln>
          <a:noFill/>
        </a:ln>
        <a:effectLst>
          <a:outerShdw blurRad="50800" dist="38100" dir="5400000" algn="t"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lvl="0" algn="ctr"/>
          <a:endParaRPr lang="en-IN" sz="700">
            <a:solidFill>
              <a:schemeClr val="bg1"/>
            </a:solidFill>
            <a:latin typeface="Eras Bold ITC" panose="020B0907030504020204" pitchFamily="34" charset="0"/>
          </a:endParaRPr>
        </a:p>
        <a:p>
          <a:pPr lvl="0" algn="ctr"/>
          <a:r>
            <a:rPr lang="en-IN" sz="2400">
              <a:solidFill>
                <a:schemeClr val="bg1"/>
              </a:solidFill>
              <a:latin typeface="Eras Bold ITC" panose="020B0907030504020204" pitchFamily="34" charset="0"/>
            </a:rPr>
            <a:t>SALES DASHBOARD - 2024</a:t>
          </a:r>
        </a:p>
      </xdr:txBody>
    </xdr:sp>
    <xdr:clientData/>
  </xdr:twoCellAnchor>
  <xdr:twoCellAnchor>
    <xdr:from>
      <xdr:col>0</xdr:col>
      <xdr:colOff>60960</xdr:colOff>
      <xdr:row>4</xdr:row>
      <xdr:rowOff>91440</xdr:rowOff>
    </xdr:from>
    <xdr:to>
      <xdr:col>4</xdr:col>
      <xdr:colOff>183615</xdr:colOff>
      <xdr:row>8</xdr:row>
      <xdr:rowOff>160020</xdr:rowOff>
    </xdr:to>
    <xdr:sp macro="" textlink="">
      <xdr:nvSpPr>
        <xdr:cNvPr id="4" name="Rounded Rectangle 3"/>
        <xdr:cNvSpPr/>
      </xdr:nvSpPr>
      <xdr:spPr>
        <a:xfrm>
          <a:off x="60960" y="789175"/>
          <a:ext cx="2803426" cy="766315"/>
        </a:xfrm>
        <a:prstGeom prst="roundRect">
          <a:avLst/>
        </a:prstGeom>
        <a:solidFill>
          <a:schemeClr val="tx1"/>
        </a:solidFill>
        <a:ln>
          <a:noFill/>
        </a:ln>
        <a:effectLst>
          <a:outerShdw blurRad="50800" dist="38100" dir="5400000" algn="t"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68580</xdr:colOff>
      <xdr:row>4</xdr:row>
      <xdr:rowOff>83820</xdr:rowOff>
    </xdr:from>
    <xdr:to>
      <xdr:col>0</xdr:col>
      <xdr:colOff>594360</xdr:colOff>
      <xdr:row>8</xdr:row>
      <xdr:rowOff>152400</xdr:rowOff>
    </xdr:to>
    <xdr:sp macro="" textlink="">
      <xdr:nvSpPr>
        <xdr:cNvPr id="5" name="Rounded Rectangle 4"/>
        <xdr:cNvSpPr/>
      </xdr:nvSpPr>
      <xdr:spPr>
        <a:xfrm>
          <a:off x="68580" y="784860"/>
          <a:ext cx="525780" cy="769620"/>
        </a:xfrm>
        <a:prstGeom prst="roundRect">
          <a:avLst/>
        </a:prstGeom>
        <a:solidFill>
          <a:schemeClr val="accent6">
            <a:lumMod val="75000"/>
          </a:schemeClr>
        </a:solidFill>
        <a:ln>
          <a:noFill/>
        </a:ln>
        <a:effectLst>
          <a:outerShdw blurRad="50800" dist="38100" dir="5400000" algn="t"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1</xdr:col>
      <xdr:colOff>411388</xdr:colOff>
      <xdr:row>5</xdr:row>
      <xdr:rowOff>22861</xdr:rowOff>
    </xdr:from>
    <xdr:ext cx="1478280" cy="255647"/>
    <xdr:sp macro="" textlink="">
      <xdr:nvSpPr>
        <xdr:cNvPr id="6" name="TextBox 5"/>
        <xdr:cNvSpPr txBox="1"/>
      </xdr:nvSpPr>
      <xdr:spPr>
        <a:xfrm>
          <a:off x="1081581" y="895030"/>
          <a:ext cx="1478280" cy="2556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0">
              <a:solidFill>
                <a:schemeClr val="bg1"/>
              </a:solidFill>
              <a:latin typeface="Eras Bold ITC" panose="020B0907030504020204" pitchFamily="34" charset="0"/>
            </a:rPr>
            <a:t>TOTAL</a:t>
          </a:r>
          <a:r>
            <a:rPr lang="en-IN" sz="1100" b="0" baseline="0">
              <a:solidFill>
                <a:schemeClr val="bg1"/>
              </a:solidFill>
              <a:latin typeface="Eras Bold ITC" panose="020B0907030504020204" pitchFamily="34" charset="0"/>
            </a:rPr>
            <a:t> </a:t>
          </a:r>
          <a:r>
            <a:rPr lang="en-IN" sz="1050" b="0" baseline="0">
              <a:solidFill>
                <a:schemeClr val="bg1"/>
              </a:solidFill>
              <a:latin typeface="Eras Bold ITC" panose="020B0907030504020204" pitchFamily="34" charset="0"/>
            </a:rPr>
            <a:t>SALES</a:t>
          </a:r>
          <a:endParaRPr lang="en-IN" sz="1100" b="0">
            <a:solidFill>
              <a:schemeClr val="bg1"/>
            </a:solidFill>
            <a:latin typeface="Eras Bold ITC" panose="020B0907030504020204" pitchFamily="34" charset="0"/>
          </a:endParaRPr>
        </a:p>
      </xdr:txBody>
    </xdr:sp>
    <xdr:clientData/>
  </xdr:oneCellAnchor>
  <xdr:oneCellAnchor>
    <xdr:from>
      <xdr:col>1</xdr:col>
      <xdr:colOff>227314</xdr:colOff>
      <xdr:row>6</xdr:row>
      <xdr:rowOff>131101</xdr:rowOff>
    </xdr:from>
    <xdr:ext cx="1485900" cy="270523"/>
    <xdr:sp macro="" textlink="">
      <xdr:nvSpPr>
        <xdr:cNvPr id="8" name="TextBox 7"/>
        <xdr:cNvSpPr txBox="1"/>
      </xdr:nvSpPr>
      <xdr:spPr>
        <a:xfrm>
          <a:off x="897507" y="1177703"/>
          <a:ext cx="1485900" cy="270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solidFill>
                <a:schemeClr val="accent6">
                  <a:lumMod val="50000"/>
                </a:schemeClr>
              </a:solidFill>
              <a:latin typeface="Eras Bold ITC" panose="020B0907030504020204" pitchFamily="34" charset="0"/>
            </a:rPr>
            <a:t> </a:t>
          </a:r>
          <a:r>
            <a:rPr lang="en-US" sz="1200">
              <a:solidFill>
                <a:schemeClr val="bg1"/>
              </a:solidFill>
              <a:latin typeface="Eras Bold ITC" panose="020B0907030504020204" pitchFamily="34" charset="0"/>
            </a:rPr>
            <a:t>1,29,44,500.00 </a:t>
          </a:r>
        </a:p>
      </xdr:txBody>
    </xdr:sp>
    <xdr:clientData/>
  </xdr:oneCellAnchor>
  <xdr:twoCellAnchor>
    <xdr:from>
      <xdr:col>4</xdr:col>
      <xdr:colOff>211157</xdr:colOff>
      <xdr:row>4</xdr:row>
      <xdr:rowOff>100621</xdr:rowOff>
    </xdr:from>
    <xdr:to>
      <xdr:col>7</xdr:col>
      <xdr:colOff>669550</xdr:colOff>
      <xdr:row>8</xdr:row>
      <xdr:rowOff>169201</xdr:rowOff>
    </xdr:to>
    <xdr:sp macro="" textlink="">
      <xdr:nvSpPr>
        <xdr:cNvPr id="12" name="Rounded Rectangle 11"/>
        <xdr:cNvSpPr/>
      </xdr:nvSpPr>
      <xdr:spPr>
        <a:xfrm>
          <a:off x="2891928" y="798356"/>
          <a:ext cx="2468971" cy="766315"/>
        </a:xfrm>
        <a:prstGeom prst="roundRect">
          <a:avLst/>
        </a:prstGeom>
        <a:solidFill>
          <a:schemeClr val="tx1"/>
        </a:solidFill>
        <a:ln>
          <a:noFill/>
        </a:ln>
        <a:effectLst>
          <a:outerShdw blurRad="50800" dist="38100" dir="5400000" algn="t"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199405</xdr:colOff>
      <xdr:row>4</xdr:row>
      <xdr:rowOff>100621</xdr:rowOff>
    </xdr:from>
    <xdr:to>
      <xdr:col>5</xdr:col>
      <xdr:colOff>54624</xdr:colOff>
      <xdr:row>8</xdr:row>
      <xdr:rowOff>169201</xdr:rowOff>
    </xdr:to>
    <xdr:sp macro="" textlink="">
      <xdr:nvSpPr>
        <xdr:cNvPr id="13" name="Rounded Rectangle 12"/>
        <xdr:cNvSpPr/>
      </xdr:nvSpPr>
      <xdr:spPr>
        <a:xfrm>
          <a:off x="2880176" y="798356"/>
          <a:ext cx="525412" cy="766315"/>
        </a:xfrm>
        <a:prstGeom prst="roundRect">
          <a:avLst/>
        </a:prstGeom>
        <a:solidFill>
          <a:schemeClr val="accent6">
            <a:lumMod val="75000"/>
          </a:schemeClr>
        </a:solidFill>
        <a:ln>
          <a:noFill/>
        </a:ln>
        <a:effectLst>
          <a:outerShdw blurRad="50800" dist="38100" dir="5400000" algn="t"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5</xdr:col>
      <xdr:colOff>288641</xdr:colOff>
      <xdr:row>5</xdr:row>
      <xdr:rowOff>21300</xdr:rowOff>
    </xdr:from>
    <xdr:ext cx="1478280" cy="255647"/>
    <xdr:sp macro="" textlink="">
      <xdr:nvSpPr>
        <xdr:cNvPr id="14" name="TextBox 13"/>
        <xdr:cNvSpPr txBox="1"/>
      </xdr:nvSpPr>
      <xdr:spPr>
        <a:xfrm>
          <a:off x="3639605" y="893469"/>
          <a:ext cx="1478280" cy="2556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0">
              <a:solidFill>
                <a:schemeClr val="bg1"/>
              </a:solidFill>
              <a:latin typeface="Eras Bold ITC" panose="020B0907030504020204" pitchFamily="34" charset="0"/>
            </a:rPr>
            <a:t>AVERAGE</a:t>
          </a:r>
          <a:r>
            <a:rPr lang="en-IN" sz="1100" b="0" baseline="0">
              <a:solidFill>
                <a:schemeClr val="bg1"/>
              </a:solidFill>
              <a:latin typeface="Eras Bold ITC" panose="020B0907030504020204" pitchFamily="34" charset="0"/>
            </a:rPr>
            <a:t> </a:t>
          </a:r>
          <a:r>
            <a:rPr lang="en-IN" sz="1050" b="0" baseline="0">
              <a:solidFill>
                <a:schemeClr val="bg1"/>
              </a:solidFill>
              <a:latin typeface="Eras Bold ITC" panose="020B0907030504020204" pitchFamily="34" charset="0"/>
            </a:rPr>
            <a:t>SALES</a:t>
          </a:r>
          <a:endParaRPr lang="en-IN" sz="1100" b="0">
            <a:solidFill>
              <a:schemeClr val="bg1"/>
            </a:solidFill>
            <a:latin typeface="Eras Bold ITC" panose="020B0907030504020204" pitchFamily="34" charset="0"/>
          </a:endParaRPr>
        </a:p>
      </xdr:txBody>
    </xdr:sp>
    <xdr:clientData/>
  </xdr:oneCellAnchor>
  <xdr:oneCellAnchor>
    <xdr:from>
      <xdr:col>5</xdr:col>
      <xdr:colOff>348041</xdr:colOff>
      <xdr:row>6</xdr:row>
      <xdr:rowOff>106680</xdr:rowOff>
    </xdr:from>
    <xdr:ext cx="1295400" cy="270523"/>
    <xdr:sp macro="" textlink="SalesData!K8">
      <xdr:nvSpPr>
        <xdr:cNvPr id="17" name="TextBox 16"/>
        <xdr:cNvSpPr txBox="1"/>
      </xdr:nvSpPr>
      <xdr:spPr>
        <a:xfrm>
          <a:off x="3699005" y="1153282"/>
          <a:ext cx="1295400" cy="270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45CBF35-22FB-4ADE-B43D-46DA9FD08240}" type="TxLink">
            <a:rPr lang="en-US" sz="1200" b="0" i="0" u="none" strike="noStrike">
              <a:solidFill>
                <a:schemeClr val="bg1"/>
              </a:solidFill>
              <a:latin typeface="Eras Bold ITC" panose="020B0907030504020204" pitchFamily="34" charset="0"/>
            </a:rPr>
            <a:t> 2,58,890.00 </a:t>
          </a:fld>
          <a:endParaRPr lang="en-IN" sz="1200">
            <a:solidFill>
              <a:schemeClr val="bg1"/>
            </a:solidFill>
            <a:latin typeface="Eras Bold ITC" panose="020B0907030504020204" pitchFamily="34" charset="0"/>
          </a:endParaRPr>
        </a:p>
      </xdr:txBody>
    </xdr:sp>
    <xdr:clientData/>
  </xdr:oneCellAnchor>
  <xdr:twoCellAnchor>
    <xdr:from>
      <xdr:col>8</xdr:col>
      <xdr:colOff>9181</xdr:colOff>
      <xdr:row>4</xdr:row>
      <xdr:rowOff>91440</xdr:rowOff>
    </xdr:from>
    <xdr:to>
      <xdr:col>11</xdr:col>
      <xdr:colOff>386876</xdr:colOff>
      <xdr:row>8</xdr:row>
      <xdr:rowOff>160020</xdr:rowOff>
    </xdr:to>
    <xdr:sp macro="" textlink="">
      <xdr:nvSpPr>
        <xdr:cNvPr id="26" name="Rounded Rectangle 25"/>
        <xdr:cNvSpPr/>
      </xdr:nvSpPr>
      <xdr:spPr>
        <a:xfrm>
          <a:off x="5370723" y="789175"/>
          <a:ext cx="2388273" cy="766315"/>
        </a:xfrm>
        <a:prstGeom prst="roundRect">
          <a:avLst/>
        </a:prstGeom>
        <a:solidFill>
          <a:schemeClr val="tx1"/>
        </a:solidFill>
        <a:ln>
          <a:noFill/>
        </a:ln>
        <a:effectLst>
          <a:outerShdw blurRad="50800" dist="38100" dir="5400000" algn="t"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6978</xdr:colOff>
      <xdr:row>4</xdr:row>
      <xdr:rowOff>100621</xdr:rowOff>
    </xdr:from>
    <xdr:to>
      <xdr:col>8</xdr:col>
      <xdr:colOff>532391</xdr:colOff>
      <xdr:row>8</xdr:row>
      <xdr:rowOff>169201</xdr:rowOff>
    </xdr:to>
    <xdr:sp macro="" textlink="">
      <xdr:nvSpPr>
        <xdr:cNvPr id="27" name="Rounded Rectangle 26"/>
        <xdr:cNvSpPr/>
      </xdr:nvSpPr>
      <xdr:spPr>
        <a:xfrm>
          <a:off x="5368520" y="798356"/>
          <a:ext cx="525413" cy="766315"/>
        </a:xfrm>
        <a:prstGeom prst="roundRect">
          <a:avLst/>
        </a:prstGeom>
        <a:solidFill>
          <a:schemeClr val="accent6">
            <a:lumMod val="75000"/>
          </a:schemeClr>
        </a:solidFill>
        <a:ln>
          <a:noFill/>
        </a:ln>
        <a:effectLst>
          <a:outerShdw blurRad="50800" dist="38100" dir="5400000" algn="t"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9</xdr:col>
      <xdr:colOff>265232</xdr:colOff>
      <xdr:row>5</xdr:row>
      <xdr:rowOff>18178</xdr:rowOff>
    </xdr:from>
    <xdr:ext cx="1478280" cy="255647"/>
    <xdr:sp macro="" textlink="">
      <xdr:nvSpPr>
        <xdr:cNvPr id="28" name="TextBox 27"/>
        <xdr:cNvSpPr txBox="1"/>
      </xdr:nvSpPr>
      <xdr:spPr>
        <a:xfrm>
          <a:off x="6296967" y="890347"/>
          <a:ext cx="1478280" cy="2556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0">
              <a:solidFill>
                <a:schemeClr val="bg1"/>
              </a:solidFill>
              <a:latin typeface="Eras Bold ITC" panose="020B0907030504020204" pitchFamily="34" charset="0"/>
            </a:rPr>
            <a:t>UNIT SOLD</a:t>
          </a:r>
          <a:endParaRPr lang="en-IN" sz="1100" b="0">
            <a:solidFill>
              <a:schemeClr val="bg1"/>
            </a:solidFill>
            <a:latin typeface="Eras Bold ITC" panose="020B0907030504020204" pitchFamily="34" charset="0"/>
          </a:endParaRPr>
        </a:p>
      </xdr:txBody>
    </xdr:sp>
    <xdr:clientData/>
  </xdr:oneCellAnchor>
  <xdr:oneCellAnchor>
    <xdr:from>
      <xdr:col>9</xdr:col>
      <xdr:colOff>435625</xdr:colOff>
      <xdr:row>6</xdr:row>
      <xdr:rowOff>80699</xdr:rowOff>
    </xdr:from>
    <xdr:ext cx="1485900" cy="270523"/>
    <xdr:sp macro="" textlink="SalesData!K4">
      <xdr:nvSpPr>
        <xdr:cNvPr id="29" name="TextBox 28"/>
        <xdr:cNvSpPr txBox="1"/>
      </xdr:nvSpPr>
      <xdr:spPr>
        <a:xfrm>
          <a:off x="6467360" y="1127301"/>
          <a:ext cx="1485900" cy="270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0CCC697-4005-42F6-94B2-53926E67E2BC}" type="TxLink">
            <a:rPr lang="en-US" sz="1200" b="0" i="0" u="none" strike="noStrike">
              <a:solidFill>
                <a:schemeClr val="bg1"/>
              </a:solidFill>
              <a:latin typeface="Eras Bold ITC" panose="020B0907030504020204" pitchFamily="34" charset="0"/>
            </a:rPr>
            <a:t>4705</a:t>
          </a:fld>
          <a:endParaRPr lang="en-US" sz="1400">
            <a:solidFill>
              <a:schemeClr val="bg1"/>
            </a:solidFill>
            <a:latin typeface="Eras Bold ITC" panose="020B0907030504020204" pitchFamily="34" charset="0"/>
          </a:endParaRPr>
        </a:p>
      </xdr:txBody>
    </xdr:sp>
    <xdr:clientData/>
  </xdr:oneCellAnchor>
  <xdr:twoCellAnchor>
    <xdr:from>
      <xdr:col>11</xdr:col>
      <xdr:colOff>394772</xdr:colOff>
      <xdr:row>4</xdr:row>
      <xdr:rowOff>73078</xdr:rowOff>
    </xdr:from>
    <xdr:to>
      <xdr:col>14</xdr:col>
      <xdr:colOff>664225</xdr:colOff>
      <xdr:row>8</xdr:row>
      <xdr:rowOff>141658</xdr:rowOff>
    </xdr:to>
    <xdr:sp macro="" textlink="">
      <xdr:nvSpPr>
        <xdr:cNvPr id="30" name="Rounded Rectangle 29"/>
        <xdr:cNvSpPr/>
      </xdr:nvSpPr>
      <xdr:spPr>
        <a:xfrm>
          <a:off x="7766892" y="770813"/>
          <a:ext cx="2280032" cy="766315"/>
        </a:xfrm>
        <a:prstGeom prst="roundRect">
          <a:avLst/>
        </a:prstGeom>
        <a:solidFill>
          <a:schemeClr val="tx1"/>
        </a:solidFill>
        <a:ln>
          <a:noFill/>
        </a:ln>
        <a:effectLst>
          <a:outerShdw blurRad="50800" dist="38100" dir="5400000" algn="t"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414419</xdr:colOff>
      <xdr:row>4</xdr:row>
      <xdr:rowOff>73079</xdr:rowOff>
    </xdr:from>
    <xdr:to>
      <xdr:col>12</xdr:col>
      <xdr:colOff>269639</xdr:colOff>
      <xdr:row>8</xdr:row>
      <xdr:rowOff>141659</xdr:rowOff>
    </xdr:to>
    <xdr:sp macro="" textlink="">
      <xdr:nvSpPr>
        <xdr:cNvPr id="31" name="Rounded Rectangle 30"/>
        <xdr:cNvSpPr/>
      </xdr:nvSpPr>
      <xdr:spPr>
        <a:xfrm>
          <a:off x="7786539" y="770814"/>
          <a:ext cx="525413" cy="766315"/>
        </a:xfrm>
        <a:prstGeom prst="roundRect">
          <a:avLst/>
        </a:prstGeom>
        <a:solidFill>
          <a:schemeClr val="accent6">
            <a:lumMod val="75000"/>
          </a:schemeClr>
        </a:solidFill>
        <a:ln>
          <a:noFill/>
        </a:ln>
        <a:effectLst>
          <a:outerShdw blurRad="50800" dist="38100" dir="5400000" algn="t" rotWithShape="0">
            <a:prstClr val="black">
              <a:alpha val="40000"/>
            </a:prst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12</xdr:col>
      <xdr:colOff>503287</xdr:colOff>
      <xdr:row>4</xdr:row>
      <xdr:rowOff>167641</xdr:rowOff>
    </xdr:from>
    <xdr:ext cx="1478280" cy="255647"/>
    <xdr:sp macro="" textlink="">
      <xdr:nvSpPr>
        <xdr:cNvPr id="32" name="TextBox 31"/>
        <xdr:cNvSpPr txBox="1"/>
      </xdr:nvSpPr>
      <xdr:spPr>
        <a:xfrm>
          <a:off x="8545600" y="865376"/>
          <a:ext cx="1478280" cy="2556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0">
              <a:solidFill>
                <a:schemeClr val="bg1"/>
              </a:solidFill>
              <a:latin typeface="Eras Bold ITC" panose="020B0907030504020204" pitchFamily="34" charset="0"/>
            </a:rPr>
            <a:t>TOTAL</a:t>
          </a:r>
          <a:r>
            <a:rPr lang="en-IN" sz="1100" b="0" baseline="0">
              <a:solidFill>
                <a:schemeClr val="bg1"/>
              </a:solidFill>
              <a:latin typeface="Eras Bold ITC" panose="020B0907030504020204" pitchFamily="34" charset="0"/>
            </a:rPr>
            <a:t> </a:t>
          </a:r>
          <a:r>
            <a:rPr lang="en-IN" sz="1050" b="0" baseline="0">
              <a:solidFill>
                <a:schemeClr val="bg1"/>
              </a:solidFill>
              <a:latin typeface="Eras Bold ITC" panose="020B0907030504020204" pitchFamily="34" charset="0"/>
            </a:rPr>
            <a:t>PROFIT</a:t>
          </a:r>
          <a:endParaRPr lang="en-IN" sz="1100" b="0">
            <a:solidFill>
              <a:schemeClr val="bg1"/>
            </a:solidFill>
            <a:latin typeface="Eras Bold ITC" panose="020B0907030504020204" pitchFamily="34" charset="0"/>
          </a:endParaRPr>
        </a:p>
      </xdr:txBody>
    </xdr:sp>
    <xdr:clientData/>
  </xdr:oneCellAnchor>
  <xdr:oneCellAnchor>
    <xdr:from>
      <xdr:col>12</xdr:col>
      <xdr:colOff>457566</xdr:colOff>
      <xdr:row>6</xdr:row>
      <xdr:rowOff>80699</xdr:rowOff>
    </xdr:from>
    <xdr:ext cx="1485900" cy="270523"/>
    <xdr:sp macro="" textlink="SalesData!K6">
      <xdr:nvSpPr>
        <xdr:cNvPr id="33" name="TextBox 32"/>
        <xdr:cNvSpPr txBox="1"/>
      </xdr:nvSpPr>
      <xdr:spPr>
        <a:xfrm>
          <a:off x="8499879" y="1127301"/>
          <a:ext cx="1485900" cy="2705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5C29370-AE47-483D-B77D-0A073DF2E928}" type="TxLink">
            <a:rPr lang="en-US" sz="1200" b="0" i="0" u="none" strike="noStrike">
              <a:solidFill>
                <a:schemeClr val="bg1"/>
              </a:solidFill>
              <a:latin typeface="Eras Bold ITC" panose="020B0907030504020204" pitchFamily="34" charset="0"/>
            </a:rPr>
            <a:t> 38,34,400.00 </a:t>
          </a:fld>
          <a:endParaRPr lang="en-US" sz="1400">
            <a:solidFill>
              <a:schemeClr val="bg1"/>
            </a:solidFill>
            <a:latin typeface="Eras Bold ITC" panose="020B0907030504020204" pitchFamily="34" charset="0"/>
          </a:endParaRPr>
        </a:p>
      </xdr:txBody>
    </xdr:sp>
    <xdr:clientData/>
  </xdr:oneCellAnchor>
  <xdr:twoCellAnchor editAs="oneCell">
    <xdr:from>
      <xdr:col>15</xdr:col>
      <xdr:colOff>9180</xdr:colOff>
      <xdr:row>4</xdr:row>
      <xdr:rowOff>109618</xdr:rowOff>
    </xdr:from>
    <xdr:to>
      <xdr:col>19</xdr:col>
      <xdr:colOff>587566</xdr:colOff>
      <xdr:row>9</xdr:row>
      <xdr:rowOff>36723</xdr:rowOff>
    </xdr:to>
    <mc:AlternateContent xmlns:mc="http://schemas.openxmlformats.org/markup-compatibility/2006">
      <mc:Choice xmlns:a14="http://schemas.microsoft.com/office/drawing/2010/main" Requires="a14">
        <xdr:graphicFrame macro="">
          <xdr:nvGraphicFramePr>
            <xdr:cNvPr id="39"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067580" y="810658"/>
              <a:ext cx="3260626" cy="803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9</xdr:row>
      <xdr:rowOff>15240</xdr:rowOff>
    </xdr:from>
    <xdr:to>
      <xdr:col>2</xdr:col>
      <xdr:colOff>617220</xdr:colOff>
      <xdr:row>25</xdr:row>
      <xdr:rowOff>22860</xdr:rowOff>
    </xdr:to>
    <mc:AlternateContent xmlns:mc="http://schemas.openxmlformats.org/markup-compatibility/2006">
      <mc:Choice xmlns:a14="http://schemas.microsoft.com/office/drawing/2010/main" Requires="a14">
        <xdr:graphicFrame macro="">
          <xdr:nvGraphicFramePr>
            <xdr:cNvPr id="40" name="Sales Person 1"/>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68580" y="1592580"/>
              <a:ext cx="1889760" cy="2811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25</xdr:row>
      <xdr:rowOff>22861</xdr:rowOff>
    </xdr:from>
    <xdr:to>
      <xdr:col>2</xdr:col>
      <xdr:colOff>601980</xdr:colOff>
      <xdr:row>37</xdr:row>
      <xdr:rowOff>128530</xdr:rowOff>
    </xdr:to>
    <mc:AlternateContent xmlns:mc="http://schemas.openxmlformats.org/markup-compatibility/2006">
      <mc:Choice xmlns:a14="http://schemas.microsoft.com/office/drawing/2010/main" Requires="a14">
        <xdr:graphicFrame macro="">
          <xdr:nvGraphicFramePr>
            <xdr:cNvPr id="41"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68580" y="4404361"/>
              <a:ext cx="1874520" cy="2208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642650</xdr:colOff>
      <xdr:row>9</xdr:row>
      <xdr:rowOff>36722</xdr:rowOff>
    </xdr:from>
    <xdr:to>
      <xdr:col>11</xdr:col>
      <xdr:colOff>275422</xdr:colOff>
      <xdr:row>22</xdr:row>
      <xdr:rowOff>165253</xdr:rowOff>
    </xdr:to>
    <xdr:sp macro="" textlink="">
      <xdr:nvSpPr>
        <xdr:cNvPr id="43" name="Rounded Rectangle 42"/>
        <xdr:cNvSpPr/>
      </xdr:nvSpPr>
      <xdr:spPr>
        <a:xfrm>
          <a:off x="1983036" y="1606626"/>
          <a:ext cx="5664506" cy="2396169"/>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solidFill>
                <a:schemeClr val="accent6">
                  <a:lumMod val="50000"/>
                </a:schemeClr>
              </a:solidFill>
              <a:latin typeface="Eras Bold ITC" panose="020B0907030504020204" pitchFamily="34" charset="0"/>
            </a:rPr>
            <a:t>UNIT SOLD BY PRODUCT</a:t>
          </a:r>
          <a:endParaRPr lang="en-IN" sz="1100">
            <a:solidFill>
              <a:schemeClr val="accent6">
                <a:lumMod val="50000"/>
              </a:schemeClr>
            </a:solidFill>
            <a:latin typeface="Eras Bold ITC" panose="020B0907030504020204" pitchFamily="34" charset="0"/>
          </a:endParaRPr>
        </a:p>
      </xdr:txBody>
    </xdr:sp>
    <xdr:clientData/>
  </xdr:twoCellAnchor>
  <xdr:twoCellAnchor>
    <xdr:from>
      <xdr:col>3</xdr:col>
      <xdr:colOff>36723</xdr:colOff>
      <xdr:row>10</xdr:row>
      <xdr:rowOff>100987</xdr:rowOff>
    </xdr:from>
    <xdr:to>
      <xdr:col>11</xdr:col>
      <xdr:colOff>192796</xdr:colOff>
      <xdr:row>22</xdr:row>
      <xdr:rowOff>82627</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620617</xdr:colOff>
      <xdr:row>22</xdr:row>
      <xdr:rowOff>170761</xdr:rowOff>
    </xdr:from>
    <xdr:to>
      <xdr:col>13</xdr:col>
      <xdr:colOff>192795</xdr:colOff>
      <xdr:row>37</xdr:row>
      <xdr:rowOff>115676</xdr:rowOff>
    </xdr:to>
    <xdr:sp macro="" textlink="">
      <xdr:nvSpPr>
        <xdr:cNvPr id="45" name="Rounded Rectangle 44"/>
        <xdr:cNvSpPr/>
      </xdr:nvSpPr>
      <xdr:spPr>
        <a:xfrm>
          <a:off x="1961003" y="4008303"/>
          <a:ext cx="6944298" cy="2561421"/>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rtl="0"/>
          <a:r>
            <a:rPr lang="en-US" sz="1200" b="0" i="0" baseline="0">
              <a:solidFill>
                <a:schemeClr val="accent6">
                  <a:lumMod val="50000"/>
                </a:schemeClr>
              </a:solidFill>
              <a:effectLst>
                <a:outerShdw blurRad="50800" dist="38100" dir="5400000" algn="t" rotWithShape="0">
                  <a:srgbClr val="000000">
                    <a:alpha val="40000"/>
                  </a:srgbClr>
                </a:outerShdw>
              </a:effectLst>
              <a:latin typeface="Eras Bold ITC" panose="020B0907030504020204" pitchFamily="34" charset="0"/>
              <a:ea typeface="+mn-ea"/>
              <a:cs typeface="+mn-cs"/>
            </a:rPr>
            <a:t>TOTAL SALES BY SALES PERSON</a:t>
          </a:r>
          <a:endParaRPr lang="en-IN" sz="1100" b="0">
            <a:solidFill>
              <a:schemeClr val="accent6">
                <a:lumMod val="50000"/>
              </a:schemeClr>
            </a:solidFill>
            <a:effectLst/>
            <a:latin typeface="Eras Bold ITC" panose="020B0907030504020204" pitchFamily="34" charset="0"/>
          </a:endParaRPr>
        </a:p>
      </xdr:txBody>
    </xdr:sp>
    <xdr:clientData/>
  </xdr:twoCellAnchor>
  <xdr:twoCellAnchor>
    <xdr:from>
      <xdr:col>3</xdr:col>
      <xdr:colOff>9181</xdr:colOff>
      <xdr:row>24</xdr:row>
      <xdr:rowOff>78952</xdr:rowOff>
    </xdr:from>
    <xdr:to>
      <xdr:col>13</xdr:col>
      <xdr:colOff>119349</xdr:colOff>
      <xdr:row>37</xdr:row>
      <xdr:rowOff>27542</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280930</xdr:colOff>
      <xdr:row>9</xdr:row>
      <xdr:rowOff>42231</xdr:rowOff>
    </xdr:from>
    <xdr:to>
      <xdr:col>19</xdr:col>
      <xdr:colOff>583893</xdr:colOff>
      <xdr:row>22</xdr:row>
      <xdr:rowOff>170762</xdr:rowOff>
    </xdr:to>
    <xdr:sp macro="" textlink="">
      <xdr:nvSpPr>
        <xdr:cNvPr id="47" name="Rounded Rectangle 46"/>
        <xdr:cNvSpPr/>
      </xdr:nvSpPr>
      <xdr:spPr>
        <a:xfrm>
          <a:off x="7653050" y="1612135"/>
          <a:ext cx="5664506" cy="2396169"/>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solidFill>
                <a:schemeClr val="accent6">
                  <a:lumMod val="50000"/>
                </a:schemeClr>
              </a:solidFill>
              <a:latin typeface="Eras Bold ITC" panose="020B0907030504020204" pitchFamily="34" charset="0"/>
            </a:rPr>
            <a:t>TOTAL</a:t>
          </a:r>
          <a:r>
            <a:rPr lang="en-IN" sz="1200" baseline="0">
              <a:solidFill>
                <a:schemeClr val="accent6">
                  <a:lumMod val="50000"/>
                </a:schemeClr>
              </a:solidFill>
              <a:latin typeface="Eras Bold ITC" panose="020B0907030504020204" pitchFamily="34" charset="0"/>
            </a:rPr>
            <a:t> SALES</a:t>
          </a:r>
          <a:r>
            <a:rPr lang="en-IN" sz="1200">
              <a:solidFill>
                <a:schemeClr val="accent6">
                  <a:lumMod val="50000"/>
                </a:schemeClr>
              </a:solidFill>
              <a:latin typeface="Eras Bold ITC" panose="020B0907030504020204" pitchFamily="34" charset="0"/>
            </a:rPr>
            <a:t> BY PRODUCT</a:t>
          </a:r>
          <a:endParaRPr lang="en-IN" sz="1100">
            <a:solidFill>
              <a:schemeClr val="accent6">
                <a:lumMod val="50000"/>
              </a:schemeClr>
            </a:solidFill>
            <a:latin typeface="Eras Bold ITC" panose="020B0907030504020204" pitchFamily="34" charset="0"/>
          </a:endParaRPr>
        </a:p>
      </xdr:txBody>
    </xdr:sp>
    <xdr:clientData/>
  </xdr:twoCellAnchor>
  <xdr:twoCellAnchor>
    <xdr:from>
      <xdr:col>11</xdr:col>
      <xdr:colOff>354376</xdr:colOff>
      <xdr:row>10</xdr:row>
      <xdr:rowOff>97316</xdr:rowOff>
    </xdr:from>
    <xdr:to>
      <xdr:col>19</xdr:col>
      <xdr:colOff>495759</xdr:colOff>
      <xdr:row>22</xdr:row>
      <xdr:rowOff>82627</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203812</xdr:colOff>
      <xdr:row>22</xdr:row>
      <xdr:rowOff>167089</xdr:rowOff>
    </xdr:from>
    <xdr:to>
      <xdr:col>19</xdr:col>
      <xdr:colOff>587566</xdr:colOff>
      <xdr:row>37</xdr:row>
      <xdr:rowOff>110169</xdr:rowOff>
    </xdr:to>
    <xdr:sp macro="" textlink="">
      <xdr:nvSpPr>
        <xdr:cNvPr id="49" name="Rounded Rectangle 48"/>
        <xdr:cNvSpPr/>
      </xdr:nvSpPr>
      <xdr:spPr>
        <a:xfrm>
          <a:off x="8916318" y="4004631"/>
          <a:ext cx="4404911" cy="2559586"/>
        </a:xfrm>
        <a:prstGeom prst="roundRect">
          <a:avLst>
            <a:gd name="adj" fmla="val 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solidFill>
                <a:schemeClr val="accent6">
                  <a:lumMod val="50000"/>
                </a:schemeClr>
              </a:solidFill>
              <a:latin typeface="Eras Bold ITC" panose="020B0907030504020204" pitchFamily="34" charset="0"/>
            </a:rPr>
            <a:t>TOTAL</a:t>
          </a:r>
          <a:r>
            <a:rPr lang="en-IN" sz="1200" baseline="0">
              <a:solidFill>
                <a:schemeClr val="accent6">
                  <a:lumMod val="50000"/>
                </a:schemeClr>
              </a:solidFill>
              <a:latin typeface="Eras Bold ITC" panose="020B0907030504020204" pitchFamily="34" charset="0"/>
            </a:rPr>
            <a:t> SALES</a:t>
          </a:r>
          <a:r>
            <a:rPr lang="en-IN" sz="1200">
              <a:solidFill>
                <a:schemeClr val="accent6">
                  <a:lumMod val="50000"/>
                </a:schemeClr>
              </a:solidFill>
              <a:latin typeface="Eras Bold ITC" panose="020B0907030504020204" pitchFamily="34" charset="0"/>
            </a:rPr>
            <a:t> BY REGION</a:t>
          </a:r>
          <a:endParaRPr lang="en-IN" sz="1100">
            <a:solidFill>
              <a:schemeClr val="accent6">
                <a:lumMod val="50000"/>
              </a:schemeClr>
            </a:solidFill>
            <a:latin typeface="Eras Bold ITC" panose="020B0907030504020204" pitchFamily="34" charset="0"/>
          </a:endParaRPr>
        </a:p>
      </xdr:txBody>
    </xdr:sp>
    <xdr:clientData/>
  </xdr:twoCellAnchor>
  <xdr:twoCellAnchor>
    <xdr:from>
      <xdr:col>13</xdr:col>
      <xdr:colOff>277256</xdr:colOff>
      <xdr:row>24</xdr:row>
      <xdr:rowOff>82626</xdr:rowOff>
    </xdr:from>
    <xdr:to>
      <xdr:col>19</xdr:col>
      <xdr:colOff>468216</xdr:colOff>
      <xdr:row>37</xdr:row>
      <xdr:rowOff>18362</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erjo Love" refreshedDate="46091.506963194443" createdVersion="6" refreshedVersion="6" minRefreshableVersion="3" recordCount="50">
  <cacheSource type="worksheet">
    <worksheetSource name="Table2"/>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ount="40">
        <n v="84"/>
        <n v="128"/>
        <n v="136"/>
        <n v="91"/>
        <n v="110"/>
        <n v="51"/>
        <n v="78"/>
        <n v="146"/>
        <n v="101"/>
        <n v="52"/>
        <n v="55"/>
        <n v="137"/>
        <n v="96"/>
        <n v="76"/>
        <n v="145"/>
        <n v="83"/>
        <n v="108"/>
        <n v="144"/>
        <n v="92"/>
        <n v="71"/>
        <n v="103"/>
        <n v="93"/>
        <n v="143"/>
        <n v="99"/>
        <n v="120"/>
        <n v="66"/>
        <n v="88"/>
        <n v="127"/>
        <n v="67"/>
        <n v="149"/>
        <n v="104"/>
        <n v="57"/>
        <n v="90"/>
        <n v="69"/>
        <n v="59"/>
        <n v="109"/>
        <n v="61"/>
        <n v="130"/>
        <n v="60"/>
        <n v="73"/>
      </sharedItems>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d v="2021-02-19T00:00:00"/>
    <x v="0"/>
    <x v="0"/>
    <x v="0"/>
    <x v="0"/>
    <n v="6000"/>
    <n v="4000"/>
    <n v="504000"/>
    <n v="168000"/>
  </r>
  <r>
    <d v="2021-09-07T00:00:00"/>
    <x v="1"/>
    <x v="1"/>
    <x v="1"/>
    <x v="1"/>
    <n v="3500"/>
    <n v="2500"/>
    <n v="448000"/>
    <n v="128000"/>
  </r>
  <r>
    <d v="2021-02-03T00:00:00"/>
    <x v="2"/>
    <x v="2"/>
    <x v="2"/>
    <x v="2"/>
    <n v="1200"/>
    <n v="800"/>
    <n v="163200"/>
    <n v="54400"/>
  </r>
  <r>
    <d v="2020-09-11T00:00:00"/>
    <x v="3"/>
    <x v="3"/>
    <x v="3"/>
    <x v="3"/>
    <n v="1000"/>
    <n v="700"/>
    <n v="91000"/>
    <n v="27300"/>
  </r>
  <r>
    <d v="2021-09-23T00:00:00"/>
    <x v="4"/>
    <x v="0"/>
    <x v="4"/>
    <x v="4"/>
    <n v="4000"/>
    <n v="3000"/>
    <n v="440000"/>
    <n v="110000"/>
  </r>
  <r>
    <d v="2020-10-01T00:00:00"/>
    <x v="5"/>
    <x v="1"/>
    <x v="2"/>
    <x v="5"/>
    <n v="1200"/>
    <n v="800"/>
    <n v="61200"/>
    <n v="20400"/>
  </r>
  <r>
    <d v="2021-08-05T00:00:00"/>
    <x v="6"/>
    <x v="3"/>
    <x v="3"/>
    <x v="6"/>
    <n v="1000"/>
    <n v="700"/>
    <n v="78000"/>
    <n v="23400"/>
  </r>
  <r>
    <d v="2020-11-06T00:00:00"/>
    <x v="7"/>
    <x v="2"/>
    <x v="0"/>
    <x v="7"/>
    <n v="6000"/>
    <n v="4000"/>
    <n v="876000"/>
    <n v="292000"/>
  </r>
  <r>
    <d v="2021-01-27T00:00:00"/>
    <x v="8"/>
    <x v="0"/>
    <x v="5"/>
    <x v="8"/>
    <n v="600"/>
    <n v="400"/>
    <n v="60600"/>
    <n v="20200"/>
  </r>
  <r>
    <d v="2021-09-03T00:00:00"/>
    <x v="9"/>
    <x v="2"/>
    <x v="0"/>
    <x v="9"/>
    <n v="6000"/>
    <n v="4000"/>
    <n v="312000"/>
    <n v="104000"/>
  </r>
  <r>
    <d v="2021-09-30T00:00:00"/>
    <x v="9"/>
    <x v="1"/>
    <x v="2"/>
    <x v="10"/>
    <n v="1200"/>
    <n v="800"/>
    <n v="66000"/>
    <n v="22000"/>
  </r>
  <r>
    <d v="2020-09-10T00:00:00"/>
    <x v="9"/>
    <x v="2"/>
    <x v="3"/>
    <x v="11"/>
    <n v="1000"/>
    <n v="700"/>
    <n v="137000"/>
    <n v="41100"/>
  </r>
  <r>
    <d v="2021-07-27T00:00:00"/>
    <x v="7"/>
    <x v="2"/>
    <x v="1"/>
    <x v="12"/>
    <n v="3500"/>
    <n v="2500"/>
    <n v="336000"/>
    <n v="96000"/>
  </r>
  <r>
    <d v="2020-10-09T00:00:00"/>
    <x v="8"/>
    <x v="1"/>
    <x v="4"/>
    <x v="9"/>
    <n v="4000"/>
    <n v="3000"/>
    <n v="208000"/>
    <n v="52000"/>
  </r>
  <r>
    <d v="2021-04-06T00:00:00"/>
    <x v="3"/>
    <x v="0"/>
    <x v="1"/>
    <x v="13"/>
    <n v="3500"/>
    <n v="2500"/>
    <n v="266000"/>
    <n v="76000"/>
  </r>
  <r>
    <d v="2021-06-15T00:00:00"/>
    <x v="1"/>
    <x v="3"/>
    <x v="4"/>
    <x v="14"/>
    <n v="4000"/>
    <n v="3000"/>
    <n v="580000"/>
    <n v="145000"/>
  </r>
  <r>
    <d v="2020-09-09T00:00:00"/>
    <x v="0"/>
    <x v="2"/>
    <x v="5"/>
    <x v="15"/>
    <n v="600"/>
    <n v="400"/>
    <n v="49800"/>
    <n v="16600"/>
  </r>
  <r>
    <d v="2021-08-13T00:00:00"/>
    <x v="4"/>
    <x v="2"/>
    <x v="3"/>
    <x v="3"/>
    <n v="1000"/>
    <n v="700"/>
    <n v="91000"/>
    <n v="27300"/>
  </r>
  <r>
    <d v="2020-08-27T00:00:00"/>
    <x v="5"/>
    <x v="0"/>
    <x v="6"/>
    <x v="16"/>
    <n v="10000"/>
    <n v="7000"/>
    <n v="1080000"/>
    <n v="324000"/>
  </r>
  <r>
    <d v="2021-04-07T00:00:00"/>
    <x v="2"/>
    <x v="3"/>
    <x v="4"/>
    <x v="17"/>
    <n v="4000"/>
    <n v="3000"/>
    <n v="576000"/>
    <n v="144000"/>
  </r>
  <r>
    <d v="2020-06-08T00:00:00"/>
    <x v="4"/>
    <x v="2"/>
    <x v="5"/>
    <x v="18"/>
    <n v="600"/>
    <n v="400"/>
    <n v="55200"/>
    <n v="18400"/>
  </r>
  <r>
    <d v="2021-12-21T00:00:00"/>
    <x v="7"/>
    <x v="0"/>
    <x v="0"/>
    <x v="19"/>
    <n v="6000"/>
    <n v="4000"/>
    <n v="426000"/>
    <n v="142000"/>
  </r>
  <r>
    <d v="2021-08-10T00:00:00"/>
    <x v="0"/>
    <x v="1"/>
    <x v="5"/>
    <x v="20"/>
    <n v="600"/>
    <n v="400"/>
    <n v="61800"/>
    <n v="20600"/>
  </r>
  <r>
    <d v="2021-12-02T00:00:00"/>
    <x v="9"/>
    <x v="3"/>
    <x v="3"/>
    <x v="10"/>
    <n v="1000"/>
    <n v="700"/>
    <n v="55000"/>
    <n v="16500"/>
  </r>
  <r>
    <d v="2021-08-30T00:00:00"/>
    <x v="5"/>
    <x v="1"/>
    <x v="4"/>
    <x v="21"/>
    <n v="4000"/>
    <n v="3000"/>
    <n v="372000"/>
    <n v="93000"/>
  </r>
  <r>
    <d v="2020-05-20T00:00:00"/>
    <x v="2"/>
    <x v="2"/>
    <x v="5"/>
    <x v="22"/>
    <n v="600"/>
    <n v="400"/>
    <n v="85800"/>
    <n v="28600"/>
  </r>
  <r>
    <d v="2021-09-13T00:00:00"/>
    <x v="6"/>
    <x v="0"/>
    <x v="1"/>
    <x v="22"/>
    <n v="3500"/>
    <n v="2500"/>
    <n v="500500"/>
    <n v="143000"/>
  </r>
  <r>
    <d v="2021-10-27T00:00:00"/>
    <x v="8"/>
    <x v="3"/>
    <x v="5"/>
    <x v="23"/>
    <n v="600"/>
    <n v="400"/>
    <n v="59400"/>
    <n v="19800"/>
  </r>
  <r>
    <d v="2020-12-22T00:00:00"/>
    <x v="3"/>
    <x v="0"/>
    <x v="3"/>
    <x v="24"/>
    <n v="1000"/>
    <n v="700"/>
    <n v="120000"/>
    <n v="36000"/>
  </r>
  <r>
    <d v="2021-07-28T00:00:00"/>
    <x v="1"/>
    <x v="2"/>
    <x v="1"/>
    <x v="25"/>
    <n v="3500"/>
    <n v="2500"/>
    <n v="231000"/>
    <n v="66000"/>
  </r>
  <r>
    <d v="2020-09-29T00:00:00"/>
    <x v="8"/>
    <x v="3"/>
    <x v="2"/>
    <x v="26"/>
    <n v="1200"/>
    <n v="800"/>
    <n v="105600"/>
    <n v="35200"/>
  </r>
  <r>
    <d v="2020-10-22T00:00:00"/>
    <x v="3"/>
    <x v="1"/>
    <x v="6"/>
    <x v="27"/>
    <n v="10000"/>
    <n v="7000"/>
    <n v="1270000"/>
    <n v="381000"/>
  </r>
  <r>
    <d v="2020-05-19T00:00:00"/>
    <x v="4"/>
    <x v="0"/>
    <x v="4"/>
    <x v="28"/>
    <n v="4000"/>
    <n v="3000"/>
    <n v="268000"/>
    <n v="67000"/>
  </r>
  <r>
    <d v="2021-12-06T00:00:00"/>
    <x v="1"/>
    <x v="1"/>
    <x v="2"/>
    <x v="28"/>
    <n v="1200"/>
    <n v="800"/>
    <n v="80400"/>
    <n v="26800"/>
  </r>
  <r>
    <d v="2020-08-26T00:00:00"/>
    <x v="9"/>
    <x v="2"/>
    <x v="3"/>
    <x v="29"/>
    <n v="1000"/>
    <n v="700"/>
    <n v="149000"/>
    <n v="44700"/>
  </r>
  <r>
    <d v="2021-07-01T00:00:00"/>
    <x v="4"/>
    <x v="3"/>
    <x v="5"/>
    <x v="30"/>
    <n v="600"/>
    <n v="400"/>
    <n v="62400"/>
    <n v="20800"/>
  </r>
  <r>
    <d v="2021-07-27T00:00:00"/>
    <x v="7"/>
    <x v="0"/>
    <x v="5"/>
    <x v="31"/>
    <n v="600"/>
    <n v="400"/>
    <n v="34200"/>
    <n v="11400"/>
  </r>
  <r>
    <d v="2020-10-05T00:00:00"/>
    <x v="2"/>
    <x v="1"/>
    <x v="5"/>
    <x v="32"/>
    <n v="600"/>
    <n v="400"/>
    <n v="54000"/>
    <n v="18000"/>
  </r>
  <r>
    <d v="2020-09-02T00:00:00"/>
    <x v="5"/>
    <x v="2"/>
    <x v="5"/>
    <x v="28"/>
    <n v="600"/>
    <n v="400"/>
    <n v="40200"/>
    <n v="13400"/>
  </r>
  <r>
    <d v="2021-09-02T00:00:00"/>
    <x v="0"/>
    <x v="3"/>
    <x v="4"/>
    <x v="27"/>
    <n v="4000"/>
    <n v="3000"/>
    <n v="508000"/>
    <n v="127000"/>
  </r>
  <r>
    <d v="2021-04-13T00:00:00"/>
    <x v="5"/>
    <x v="0"/>
    <x v="3"/>
    <x v="16"/>
    <n v="1000"/>
    <n v="700"/>
    <n v="108000"/>
    <n v="32400"/>
  </r>
  <r>
    <d v="2021-05-06T00:00:00"/>
    <x v="2"/>
    <x v="1"/>
    <x v="1"/>
    <x v="25"/>
    <n v="3500"/>
    <n v="2500"/>
    <n v="231000"/>
    <n v="66000"/>
  </r>
  <r>
    <d v="2021-01-15T00:00:00"/>
    <x v="0"/>
    <x v="3"/>
    <x v="0"/>
    <x v="6"/>
    <n v="6000"/>
    <n v="4000"/>
    <n v="468000"/>
    <n v="156000"/>
  </r>
  <r>
    <d v="2020-08-27T00:00:00"/>
    <x v="7"/>
    <x v="2"/>
    <x v="3"/>
    <x v="33"/>
    <n v="1000"/>
    <n v="700"/>
    <n v="69000"/>
    <n v="20700"/>
  </r>
  <r>
    <d v="2021-02-05T00:00:00"/>
    <x v="4"/>
    <x v="0"/>
    <x v="2"/>
    <x v="34"/>
    <n v="1200"/>
    <n v="800"/>
    <n v="70800"/>
    <n v="23600"/>
  </r>
  <r>
    <d v="2021-11-17T00:00:00"/>
    <x v="9"/>
    <x v="2"/>
    <x v="5"/>
    <x v="35"/>
    <n v="600"/>
    <n v="400"/>
    <n v="65400"/>
    <n v="21800"/>
  </r>
  <r>
    <d v="2020-12-28T00:00:00"/>
    <x v="8"/>
    <x v="1"/>
    <x v="4"/>
    <x v="36"/>
    <n v="4000"/>
    <n v="3000"/>
    <n v="244000"/>
    <n v="61000"/>
  </r>
  <r>
    <d v="2021-10-27T00:00:00"/>
    <x v="4"/>
    <x v="3"/>
    <x v="5"/>
    <x v="37"/>
    <n v="600"/>
    <n v="400"/>
    <n v="78000"/>
    <n v="26000"/>
  </r>
  <r>
    <d v="2021-11-02T00:00:00"/>
    <x v="3"/>
    <x v="2"/>
    <x v="1"/>
    <x v="38"/>
    <n v="3500"/>
    <n v="2500"/>
    <n v="210000"/>
    <n v="60000"/>
  </r>
  <r>
    <d v="2020-05-07T00:00:00"/>
    <x v="1"/>
    <x v="1"/>
    <x v="0"/>
    <x v="39"/>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3" baseItem="0" numFmtId="165"/>
  </dataField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1" numFmtId="165"/>
  </dataFields>
  <formats count="2">
    <format dxfId="131">
      <pivotArea collapsedLevelsAreSubtotals="1" fieldPosition="0">
        <references count="1">
          <reference field="2" count="1">
            <x v="0"/>
          </reference>
        </references>
      </pivotArea>
    </format>
    <format dxfId="130">
      <pivotArea outline="0" fieldPosition="0">
        <references count="1">
          <reference field="4294967294" count="1">
            <x v="0"/>
          </reference>
        </references>
      </pivotArea>
    </format>
  </formats>
  <chartFormats count="15">
    <chartFormat chart="0" format="6">
      <pivotArea type="data" outline="0" fieldPosition="0">
        <references count="2">
          <reference field="4294967294" count="1" selected="0">
            <x v="0"/>
          </reference>
          <reference field="2" count="1" selected="0">
            <x v="3"/>
          </reference>
        </references>
      </pivotArea>
    </chartFormat>
    <chartFormat chart="0" format="7">
      <pivotArea type="data" outline="0" fieldPosition="0">
        <references count="2">
          <reference field="4294967294" count="1" selected="0">
            <x v="0"/>
          </reference>
          <reference field="2" count="1" selected="0">
            <x v="2"/>
          </reference>
        </references>
      </pivotArea>
    </chartFormat>
    <chartFormat chart="0" format="8">
      <pivotArea type="data" outline="0" fieldPosition="0">
        <references count="2">
          <reference field="4294967294" count="1" selected="0">
            <x v="0"/>
          </reference>
          <reference field="2" count="1" selected="0">
            <x v="1"/>
          </reference>
        </references>
      </pivotArea>
    </chartFormat>
    <chartFormat chart="0" format="9">
      <pivotArea type="data" outline="0" fieldPosition="0">
        <references count="2">
          <reference field="4294967294" count="1" selected="0">
            <x v="0"/>
          </reference>
          <reference field="2" count="1" selected="0">
            <x v="0"/>
          </reference>
        </references>
      </pivotArea>
    </chartFormat>
    <chartFormat chart="0" format="10" series="1">
      <pivotArea type="data" outline="0" fieldPosition="0">
        <references count="1">
          <reference field="4294967294" count="1" selected="0">
            <x v="0"/>
          </reference>
        </references>
      </pivotArea>
    </chartFormat>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2" count="1" selected="0">
            <x v="0"/>
          </reference>
        </references>
      </pivotArea>
    </chartFormat>
    <chartFormat chart="1" format="13">
      <pivotArea type="data" outline="0" fieldPosition="0">
        <references count="2">
          <reference field="4294967294" count="1" selected="0">
            <x v="0"/>
          </reference>
          <reference field="2" count="1" selected="0">
            <x v="1"/>
          </reference>
        </references>
      </pivotArea>
    </chartFormat>
    <chartFormat chart="1" format="14">
      <pivotArea type="data" outline="0" fieldPosition="0">
        <references count="2">
          <reference field="4294967294" count="1" selected="0">
            <x v="0"/>
          </reference>
          <reference field="2" count="1" selected="0">
            <x v="2"/>
          </reference>
        </references>
      </pivotArea>
    </chartFormat>
    <chartFormat chart="1" format="15">
      <pivotArea type="data" outline="0" fieldPosition="0">
        <references count="2">
          <reference field="4294967294" count="1" selected="0">
            <x v="0"/>
          </reference>
          <reference field="2" count="1" selected="0">
            <x v="3"/>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2" count="1" selected="0">
            <x v="0"/>
          </reference>
        </references>
      </pivotArea>
    </chartFormat>
    <chartFormat chart="2" format="18">
      <pivotArea type="data" outline="0" fieldPosition="0">
        <references count="2">
          <reference field="4294967294" count="1" selected="0">
            <x v="0"/>
          </reference>
          <reference field="2" count="1" selected="0">
            <x v="1"/>
          </reference>
        </references>
      </pivotArea>
    </chartFormat>
    <chartFormat chart="2" format="19">
      <pivotArea type="data" outline="0" fieldPosition="0">
        <references count="2">
          <reference field="4294967294" count="1" selected="0">
            <x v="0"/>
          </reference>
          <reference field="2" count="1" selected="0">
            <x v="2"/>
          </reference>
        </references>
      </pivotArea>
    </chartFormat>
    <chartFormat chart="2" format="20">
      <pivotArea type="data" outline="0" fieldPosition="0">
        <references count="2">
          <reference field="4294967294" count="1" selected="0">
            <x v="0"/>
          </reference>
          <reference field="2" count="1" selected="0">
            <x v="3"/>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J4:K12"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items count="41">
        <item x="5"/>
        <item x="9"/>
        <item x="10"/>
        <item x="31"/>
        <item x="34"/>
        <item x="38"/>
        <item x="36"/>
        <item x="25"/>
        <item x="28"/>
        <item x="33"/>
        <item x="19"/>
        <item x="39"/>
        <item x="13"/>
        <item x="6"/>
        <item x="15"/>
        <item x="0"/>
        <item x="26"/>
        <item x="32"/>
        <item x="3"/>
        <item x="18"/>
        <item x="21"/>
        <item x="12"/>
        <item x="23"/>
        <item x="8"/>
        <item x="20"/>
        <item x="30"/>
        <item x="16"/>
        <item x="35"/>
        <item x="4"/>
        <item x="24"/>
        <item x="27"/>
        <item x="1"/>
        <item x="37"/>
        <item x="2"/>
        <item x="11"/>
        <item x="22"/>
        <item x="17"/>
        <item x="14"/>
        <item x="7"/>
        <item x="29"/>
        <item t="default"/>
      </items>
    </pivotField>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dataFields>
  <formats count="4">
    <format dxfId="135">
      <pivotArea type="all" dataOnly="0" outline="0" fieldPosition="0"/>
    </format>
    <format dxfId="134">
      <pivotArea outline="0" collapsedLevelsAreSubtotals="1" fieldPosition="0"/>
    </format>
    <format dxfId="133">
      <pivotArea dataOnly="0" labelOnly="1" outline="0" axis="axisValues" fieldPosition="0"/>
    </format>
    <format dxfId="132">
      <pivotArea dataOnly="0" labelOnly="1" outline="0" axis="axisValues" fieldPosition="0"/>
    </format>
  </formats>
  <chartFormats count="4">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5"/>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5"/>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4:H15"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0" numFmtId="165"/>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Person" sourceName="Sales Person">
  <pivotTables>
    <pivotTable tabId="4" name="PivotTable2"/>
    <pivotTable tabId="4" name="PivotTable1"/>
    <pivotTable tabId="4" name="PivotTable3"/>
    <pivotTable tabId="4" name="PivotTable4"/>
  </pivotTables>
  <data>
    <tabular pivotCacheId="1">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2"/>
    <pivotTable tabId="4" name="PivotTable1"/>
    <pivotTable tabId="4" name="PivotTable3"/>
    <pivotTable tabId="4" name="PivotTable4"/>
  </pivotTables>
  <data>
    <tabular pivotCacheId="1">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2"/>
    <pivotTable tabId="4" name="PivotTable1"/>
    <pivotTable tabId="4" name="PivotTable3"/>
    <pivotTable tabId="4" name="PivotTable4"/>
  </pivotTables>
  <data>
    <tabular pivotCacheId="1">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Person" cache="Slicer_Sales_Person" caption="Sales Person" rowHeight="234950"/>
  <slicer name="Region" cache="Slicer_Region" caption="Region" columnCount="2" showCaption="0" style="SlicerStyleDark6" rowHeight="234950"/>
  <slicer name="Product" cache="Slicer_Product" caption="Product" columnCount="2" showCaption="0"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Sales Person 1" cache="Slicer_Sales_Person" caption="Sales Person" style="SlicerStyleDark6" rowHeight="234950"/>
  <slicer name="Region 1" cache="Slicer_Region" caption="Region" columnCount="2" showCaption="0" style="SlicerStyleDark6" rowHeight="234950"/>
  <slicer name="Product 1" cache="Slicer_Product" caption="Product" style="SlicerStyleDark6" rowHeight="234950"/>
</slicers>
</file>

<file path=xl/tables/table1.xml><?xml version="1.0" encoding="utf-8"?>
<table xmlns="http://schemas.openxmlformats.org/spreadsheetml/2006/main" id="1" name="Table1" displayName="Table1" ref="A1:I8" totalsRowShown="0">
  <autoFilter ref="A1:I8"/>
  <tableColumns count="9">
    <tableColumn id="1" name="Date" dataDxfId="120"/>
    <tableColumn id="2" name="Sales Person"/>
    <tableColumn id="3" name="Region"/>
    <tableColumn id="4" name="Product"/>
    <tableColumn id="5" name="Units Sold"/>
    <tableColumn id="6" name="Unit Price"/>
    <tableColumn id="7" name="Cost of Goods"/>
    <tableColumn id="8" name="Total Sales"/>
    <tableColumn id="9" name="Profit"/>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I51" totalsRowShown="0" headerRowDxfId="129" dataDxfId="127" headerRowBorderDxfId="128" dataCellStyle="Currency [0]">
  <autoFilter ref="A1:I51"/>
  <tableColumns count="9">
    <tableColumn id="1" name="Date" dataDxfId="126"/>
    <tableColumn id="2" name="Sales Person"/>
    <tableColumn id="3" name="Region"/>
    <tableColumn id="4" name="Product"/>
    <tableColumn id="5" name="Units Sold" dataDxfId="125"/>
    <tableColumn id="6" name="Unit Price" dataDxfId="124" dataCellStyle="Currency [0]">
      <calculatedColumnFormula>IF(D2="Tent",6000,IF(D2="Blender",3500,IF(D2="Action Figure",1200,IF(D2="Novel",1000,IF(D2="Sneakers",4000,IF(D2="Smartphone",10000,IF(D2="moisturizer",600,"No Product Found")))))))</calculatedColumnFormula>
    </tableColumn>
    <tableColumn id="7" name="Cost of Goods" dataDxfId="123" dataCellStyle="Currency [0]">
      <calculatedColumnFormula>IF(D2="Tent",4000,IF(D2="Blender",2500,IF(D2="Action Figure",800,IF(D2="Novel",700,IF(D2="Sneakers",3000,IF(D2="Smartphone",7000,IF(D2="moisturizer",400,"No Product Found")))))))</calculatedColumnFormula>
    </tableColumn>
    <tableColumn id="8" name="Total Sales" dataDxfId="122" dataCellStyle="Currency [0]">
      <calculatedColumnFormula>F2*E2</calculatedColumnFormula>
    </tableColumn>
    <tableColumn id="9" name="Profit" dataDxfId="121">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election activeCell="G15" sqref="G15"/>
    </sheetView>
  </sheetViews>
  <sheetFormatPr defaultRowHeight="13.8"/>
  <cols>
    <col min="2" max="2" width="14.09765625" customWidth="1"/>
    <col min="4" max="4" width="9.3984375" customWidth="1"/>
    <col min="5" max="5" width="11.5" customWidth="1"/>
    <col min="6" max="6" width="11.09765625" customWidth="1"/>
    <col min="7" max="7" width="15" customWidth="1"/>
    <col min="8" max="8" width="12.19921875" customWidth="1"/>
  </cols>
  <sheetData>
    <row r="1" spans="1:9">
      <c r="A1" t="s">
        <v>0</v>
      </c>
      <c r="B1" t="s">
        <v>1</v>
      </c>
      <c r="C1" t="s">
        <v>2</v>
      </c>
      <c r="D1" t="s">
        <v>3</v>
      </c>
      <c r="E1" t="s">
        <v>4</v>
      </c>
      <c r="F1" t="s">
        <v>5</v>
      </c>
      <c r="G1" t="s">
        <v>6</v>
      </c>
      <c r="H1" t="s">
        <v>7</v>
      </c>
      <c r="I1" t="s">
        <v>33</v>
      </c>
    </row>
    <row r="2" spans="1:9">
      <c r="A2" s="14">
        <v>44502</v>
      </c>
      <c r="B2" t="s">
        <v>17</v>
      </c>
      <c r="C2" t="s">
        <v>15</v>
      </c>
      <c r="D2" t="s">
        <v>13</v>
      </c>
      <c r="E2">
        <v>60</v>
      </c>
      <c r="F2">
        <v>3500</v>
      </c>
      <c r="G2">
        <v>2500</v>
      </c>
      <c r="H2">
        <v>210000</v>
      </c>
      <c r="I2">
        <v>60000</v>
      </c>
    </row>
    <row r="3" spans="1:9">
      <c r="A3" s="14">
        <v>44446</v>
      </c>
      <c r="B3" t="s">
        <v>11</v>
      </c>
      <c r="C3" t="s">
        <v>12</v>
      </c>
      <c r="D3" t="s">
        <v>13</v>
      </c>
      <c r="E3">
        <v>128</v>
      </c>
      <c r="F3">
        <v>3500</v>
      </c>
      <c r="G3">
        <v>2500</v>
      </c>
      <c r="H3">
        <v>448000</v>
      </c>
      <c r="I3">
        <v>128000</v>
      </c>
    </row>
    <row r="4" spans="1:9">
      <c r="A4" s="14">
        <v>44322</v>
      </c>
      <c r="B4" t="s">
        <v>14</v>
      </c>
      <c r="C4" t="s">
        <v>12</v>
      </c>
      <c r="D4" t="s">
        <v>13</v>
      </c>
      <c r="E4">
        <v>66</v>
      </c>
      <c r="F4">
        <v>3500</v>
      </c>
      <c r="G4">
        <v>2500</v>
      </c>
      <c r="H4">
        <v>231000</v>
      </c>
      <c r="I4">
        <v>66000</v>
      </c>
    </row>
    <row r="5" spans="1:9">
      <c r="A5" s="14">
        <v>44405</v>
      </c>
      <c r="B5" t="s">
        <v>11</v>
      </c>
      <c r="C5" t="s">
        <v>15</v>
      </c>
      <c r="D5" t="s">
        <v>13</v>
      </c>
      <c r="E5">
        <v>66</v>
      </c>
      <c r="F5">
        <v>3500</v>
      </c>
      <c r="G5">
        <v>2500</v>
      </c>
      <c r="H5">
        <v>231000</v>
      </c>
      <c r="I5">
        <v>66000</v>
      </c>
    </row>
    <row r="6" spans="1:9">
      <c r="A6" s="14">
        <v>44452</v>
      </c>
      <c r="B6" t="s">
        <v>23</v>
      </c>
      <c r="C6" t="s">
        <v>9</v>
      </c>
      <c r="D6" t="s">
        <v>13</v>
      </c>
      <c r="E6">
        <v>143</v>
      </c>
      <c r="F6">
        <v>3500</v>
      </c>
      <c r="G6">
        <v>2500</v>
      </c>
      <c r="H6">
        <v>500500</v>
      </c>
      <c r="I6">
        <v>143000</v>
      </c>
    </row>
    <row r="7" spans="1:9">
      <c r="A7" s="14">
        <v>44292</v>
      </c>
      <c r="B7" t="s">
        <v>17</v>
      </c>
      <c r="C7" t="s">
        <v>9</v>
      </c>
      <c r="D7" t="s">
        <v>13</v>
      </c>
      <c r="E7">
        <v>76</v>
      </c>
      <c r="F7">
        <v>3500</v>
      </c>
      <c r="G7">
        <v>2500</v>
      </c>
      <c r="H7">
        <v>266000</v>
      </c>
      <c r="I7">
        <v>76000</v>
      </c>
    </row>
    <row r="8" spans="1:9">
      <c r="A8" s="14">
        <v>44404</v>
      </c>
      <c r="B8" t="s">
        <v>24</v>
      </c>
      <c r="C8" t="s">
        <v>15</v>
      </c>
      <c r="D8" t="s">
        <v>13</v>
      </c>
      <c r="E8">
        <v>96</v>
      </c>
      <c r="F8">
        <v>3500</v>
      </c>
      <c r="G8">
        <v>2500</v>
      </c>
      <c r="H8">
        <v>336000</v>
      </c>
      <c r="I8">
        <v>96000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5"/>
  <sheetViews>
    <sheetView topLeftCell="B1" workbookViewId="0">
      <selection activeCell="E5" sqref="E5"/>
    </sheetView>
  </sheetViews>
  <sheetFormatPr defaultRowHeight="13.8"/>
  <cols>
    <col min="1" max="1" width="12.296875" customWidth="1"/>
    <col min="2" max="2" width="16.19921875" customWidth="1"/>
    <col min="4" max="4" width="12.296875" customWidth="1"/>
    <col min="5" max="5" width="16.19921875" bestFit="1" customWidth="1"/>
    <col min="7" max="7" width="12.296875" customWidth="1"/>
    <col min="8" max="8" width="16.19921875" bestFit="1" customWidth="1"/>
    <col min="10" max="10" width="12.296875" customWidth="1"/>
    <col min="11" max="11" width="15.296875" customWidth="1"/>
  </cols>
  <sheetData>
    <row r="3" spans="1:11">
      <c r="A3" s="7" t="s">
        <v>38</v>
      </c>
      <c r="B3" t="s">
        <v>39</v>
      </c>
      <c r="D3" s="7" t="s">
        <v>38</v>
      </c>
      <c r="E3" t="s">
        <v>39</v>
      </c>
    </row>
    <row r="4" spans="1:11">
      <c r="A4" s="3" t="s">
        <v>12</v>
      </c>
      <c r="B4" s="12">
        <v>3534400</v>
      </c>
      <c r="D4" s="3" t="s">
        <v>16</v>
      </c>
      <c r="E4" s="12">
        <v>547200</v>
      </c>
      <c r="G4" s="7" t="s">
        <v>38</v>
      </c>
      <c r="H4" t="s">
        <v>39</v>
      </c>
      <c r="J4" s="10" t="s">
        <v>38</v>
      </c>
      <c r="K4" s="8" t="s">
        <v>40</v>
      </c>
    </row>
    <row r="5" spans="1:11">
      <c r="A5" s="3" t="s">
        <v>18</v>
      </c>
      <c r="B5" s="12">
        <v>2661400</v>
      </c>
      <c r="D5" s="3" t="s">
        <v>13</v>
      </c>
      <c r="E5" s="12">
        <v>2222500</v>
      </c>
      <c r="G5" s="3" t="s">
        <v>8</v>
      </c>
      <c r="H5" s="12">
        <v>1591600</v>
      </c>
      <c r="J5" s="11" t="s">
        <v>16</v>
      </c>
      <c r="K5" s="9">
        <v>456</v>
      </c>
    </row>
    <row r="6" spans="1:11">
      <c r="A6" s="3" t="s">
        <v>15</v>
      </c>
      <c r="B6" s="12">
        <v>2870600</v>
      </c>
      <c r="D6" s="3" t="s">
        <v>26</v>
      </c>
      <c r="E6" s="12">
        <v>706800</v>
      </c>
      <c r="G6" s="3" t="s">
        <v>25</v>
      </c>
      <c r="H6" s="12">
        <v>677600</v>
      </c>
      <c r="J6" s="11" t="s">
        <v>13</v>
      </c>
      <c r="K6" s="9">
        <v>635</v>
      </c>
    </row>
    <row r="7" spans="1:11">
      <c r="A7" s="3" t="s">
        <v>9</v>
      </c>
      <c r="B7" s="12">
        <v>3878100</v>
      </c>
      <c r="D7" s="3" t="s">
        <v>19</v>
      </c>
      <c r="E7" s="12">
        <v>898000</v>
      </c>
      <c r="G7" s="3" t="s">
        <v>17</v>
      </c>
      <c r="H7" s="12">
        <v>1957000</v>
      </c>
      <c r="J7" s="11" t="s">
        <v>26</v>
      </c>
      <c r="K7" s="9">
        <v>1178</v>
      </c>
    </row>
    <row r="8" spans="1:11">
      <c r="A8" s="3" t="s">
        <v>34</v>
      </c>
      <c r="B8" s="12">
        <v>12944500</v>
      </c>
      <c r="D8" s="3" t="s">
        <v>28</v>
      </c>
      <c r="E8" s="12">
        <v>2350000</v>
      </c>
      <c r="G8" s="3" t="s">
        <v>22</v>
      </c>
      <c r="H8" s="12">
        <v>1661400</v>
      </c>
      <c r="J8" s="11" t="s">
        <v>19</v>
      </c>
      <c r="K8" s="9">
        <v>898</v>
      </c>
    </row>
    <row r="9" spans="1:11">
      <c r="D9" s="3" t="s">
        <v>21</v>
      </c>
      <c r="E9" s="12">
        <v>3196000</v>
      </c>
      <c r="G9" s="3" t="s">
        <v>24</v>
      </c>
      <c r="H9" s="12">
        <v>1741200</v>
      </c>
      <c r="J9" s="11" t="s">
        <v>28</v>
      </c>
      <c r="K9" s="9">
        <v>235</v>
      </c>
    </row>
    <row r="10" spans="1:11">
      <c r="D10" s="3" t="s">
        <v>10</v>
      </c>
      <c r="E10" s="12">
        <v>3024000</v>
      </c>
      <c r="G10" s="3" t="s">
        <v>14</v>
      </c>
      <c r="H10" s="12">
        <v>1110000</v>
      </c>
      <c r="J10" s="11" t="s">
        <v>21</v>
      </c>
      <c r="K10" s="9">
        <v>799</v>
      </c>
    </row>
    <row r="11" spans="1:11">
      <c r="D11" s="3" t="s">
        <v>34</v>
      </c>
      <c r="E11" s="12">
        <v>12944500</v>
      </c>
      <c r="G11" s="3" t="s">
        <v>11</v>
      </c>
      <c r="H11" s="12">
        <v>1777400</v>
      </c>
      <c r="J11" s="11" t="s">
        <v>10</v>
      </c>
      <c r="K11" s="9">
        <v>504</v>
      </c>
    </row>
    <row r="12" spans="1:11">
      <c r="G12" s="3" t="s">
        <v>20</v>
      </c>
      <c r="H12" s="12">
        <v>1065400</v>
      </c>
      <c r="J12" s="11" t="s">
        <v>34</v>
      </c>
      <c r="K12" s="9">
        <v>4705</v>
      </c>
    </row>
    <row r="13" spans="1:11">
      <c r="G13" s="3" t="s">
        <v>27</v>
      </c>
      <c r="H13" s="12">
        <v>784400</v>
      </c>
    </row>
    <row r="14" spans="1:11">
      <c r="G14" s="3" t="s">
        <v>23</v>
      </c>
      <c r="H14" s="12">
        <v>578500</v>
      </c>
    </row>
    <row r="15" spans="1:11">
      <c r="G15" s="3" t="s">
        <v>34</v>
      </c>
      <c r="H15" s="12">
        <v>12944500</v>
      </c>
    </row>
  </sheetData>
  <pageMargins left="0.7" right="0.7" top="0.75" bottom="0.75" header="0.3" footer="0.3"/>
  <pageSetup paperSize="9" orientation="portrait" horizontalDpi="0" verticalDpi="0"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3"/>
  <sheetViews>
    <sheetView tabSelected="1" topLeftCell="A14" zoomScaleNormal="100" workbookViewId="0">
      <selection activeCell="U11" sqref="U11"/>
    </sheetView>
  </sheetViews>
  <sheetFormatPr defaultRowHeight="13.8"/>
  <sheetData>
    <row r="13" spans="2:2">
      <c r="B13" t="s">
        <v>41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1"/>
  <sheetViews>
    <sheetView topLeftCell="A2" workbookViewId="0">
      <selection activeCell="K6" sqref="K6"/>
    </sheetView>
  </sheetViews>
  <sheetFormatPr defaultRowHeight="13.8"/>
  <cols>
    <col min="1" max="1" width="10.09765625" bestFit="1" customWidth="1"/>
    <col min="2" max="2" width="14.09765625" customWidth="1"/>
    <col min="3" max="3" width="8.796875" customWidth="1"/>
    <col min="4" max="4" width="11.3984375" bestFit="1" customWidth="1"/>
    <col min="5" max="5" width="11.5" customWidth="1"/>
    <col min="6" max="6" width="11.09765625" customWidth="1"/>
    <col min="7" max="7" width="15" customWidth="1"/>
    <col min="8" max="8" width="13.19921875" bestFit="1" customWidth="1"/>
    <col min="9" max="9" width="13.5" customWidth="1"/>
    <col min="10" max="10" width="12.19921875" bestFit="1" customWidth="1"/>
    <col min="11" max="11" width="17.796875" customWidth="1"/>
  </cols>
  <sheetData>
    <row r="1" spans="1:14" ht="20.100000000000001" customHeight="1" thickBot="1">
      <c r="A1" s="1" t="s">
        <v>0</v>
      </c>
      <c r="B1" s="1" t="s">
        <v>1</v>
      </c>
      <c r="C1" s="1" t="s">
        <v>2</v>
      </c>
      <c r="D1" s="1" t="s">
        <v>3</v>
      </c>
      <c r="E1" s="1" t="s">
        <v>4</v>
      </c>
      <c r="F1" s="1" t="s">
        <v>5</v>
      </c>
      <c r="G1" s="1" t="s">
        <v>6</v>
      </c>
      <c r="H1" s="1" t="s">
        <v>7</v>
      </c>
      <c r="I1" s="1" t="s">
        <v>33</v>
      </c>
      <c r="K1" s="1" t="s">
        <v>34</v>
      </c>
      <c r="N1" t="s">
        <v>29</v>
      </c>
    </row>
    <row r="2" spans="1:14" ht="14.4" thickTop="1">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5">
        <f>H2-(G2*E2)</f>
        <v>168000</v>
      </c>
      <c r="K2" s="13">
        <f>SUM(H2:H51)</f>
        <v>12944500</v>
      </c>
    </row>
    <row r="3" spans="1:14" ht="14.4" thickBot="1">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5">
        <f t="shared" ref="I3:I51" si="3">H3-(G3*E3)</f>
        <v>128000</v>
      </c>
      <c r="K3" s="1" t="s">
        <v>35</v>
      </c>
      <c r="N3" t="s">
        <v>30</v>
      </c>
    </row>
    <row r="4" spans="1:14" ht="14.4" thickTop="1">
      <c r="A4" s="2">
        <v>44230</v>
      </c>
      <c r="B4" t="s">
        <v>14</v>
      </c>
      <c r="C4" t="s">
        <v>15</v>
      </c>
      <c r="D4" t="s">
        <v>16</v>
      </c>
      <c r="E4" s="3">
        <v>136</v>
      </c>
      <c r="F4" s="4">
        <f t="shared" si="0"/>
        <v>1200</v>
      </c>
      <c r="G4" s="4">
        <f t="shared" si="1"/>
        <v>800</v>
      </c>
      <c r="H4" s="4">
        <f t="shared" si="2"/>
        <v>163200</v>
      </c>
      <c r="I4" s="5">
        <f t="shared" si="3"/>
        <v>54400</v>
      </c>
      <c r="K4" s="6">
        <f>SUM(E2:E51)</f>
        <v>4705</v>
      </c>
    </row>
    <row r="5" spans="1:14" ht="14.4" thickBot="1">
      <c r="A5" s="2">
        <v>44085</v>
      </c>
      <c r="B5" t="s">
        <v>17</v>
      </c>
      <c r="C5" t="s">
        <v>18</v>
      </c>
      <c r="D5" t="s">
        <v>19</v>
      </c>
      <c r="E5" s="3">
        <v>91</v>
      </c>
      <c r="F5" s="4">
        <f t="shared" si="0"/>
        <v>1000</v>
      </c>
      <c r="G5" s="4">
        <f t="shared" si="1"/>
        <v>700</v>
      </c>
      <c r="H5" s="4">
        <f t="shared" si="2"/>
        <v>91000</v>
      </c>
      <c r="I5" s="5">
        <f t="shared" si="3"/>
        <v>27300</v>
      </c>
      <c r="K5" s="1" t="s">
        <v>36</v>
      </c>
      <c r="N5" t="s">
        <v>31</v>
      </c>
    </row>
    <row r="6" spans="1:14" ht="14.4" thickTop="1">
      <c r="A6" s="2">
        <v>44462</v>
      </c>
      <c r="B6" t="s">
        <v>20</v>
      </c>
      <c r="C6" t="s">
        <v>9</v>
      </c>
      <c r="D6" t="s">
        <v>21</v>
      </c>
      <c r="E6" s="3">
        <v>110</v>
      </c>
      <c r="F6" s="4">
        <f t="shared" si="0"/>
        <v>4000</v>
      </c>
      <c r="G6" s="4">
        <f t="shared" si="1"/>
        <v>3000</v>
      </c>
      <c r="H6" s="4">
        <f t="shared" si="2"/>
        <v>440000</v>
      </c>
      <c r="I6" s="5">
        <f t="shared" si="3"/>
        <v>110000</v>
      </c>
      <c r="K6" s="13">
        <f>SUM(I2:I51)</f>
        <v>3834400</v>
      </c>
    </row>
    <row r="7" spans="1:14" ht="14.4" thickBot="1">
      <c r="A7" s="2">
        <v>44105</v>
      </c>
      <c r="B7" t="s">
        <v>22</v>
      </c>
      <c r="C7" t="s">
        <v>12</v>
      </c>
      <c r="D7" t="s">
        <v>16</v>
      </c>
      <c r="E7" s="3">
        <v>51</v>
      </c>
      <c r="F7" s="4">
        <f t="shared" si="0"/>
        <v>1200</v>
      </c>
      <c r="G7" s="4">
        <f t="shared" si="1"/>
        <v>800</v>
      </c>
      <c r="H7" s="4">
        <f t="shared" si="2"/>
        <v>61200</v>
      </c>
      <c r="I7" s="5">
        <f t="shared" si="3"/>
        <v>20400</v>
      </c>
      <c r="K7" s="1" t="s">
        <v>37</v>
      </c>
      <c r="N7" t="s">
        <v>32</v>
      </c>
    </row>
    <row r="8" spans="1:14" ht="14.4" thickTop="1">
      <c r="A8" s="2">
        <v>44413</v>
      </c>
      <c r="B8" t="s">
        <v>23</v>
      </c>
      <c r="C8" t="s">
        <v>18</v>
      </c>
      <c r="D8" t="s">
        <v>19</v>
      </c>
      <c r="E8" s="3">
        <v>78</v>
      </c>
      <c r="F8" s="4">
        <f t="shared" si="0"/>
        <v>1000</v>
      </c>
      <c r="G8" s="4">
        <f t="shared" si="1"/>
        <v>700</v>
      </c>
      <c r="H8" s="4">
        <f t="shared" si="2"/>
        <v>78000</v>
      </c>
      <c r="I8" s="5">
        <f t="shared" si="3"/>
        <v>23400</v>
      </c>
      <c r="K8" s="13">
        <f>AVERAGE(H2:H51)</f>
        <v>258890</v>
      </c>
    </row>
    <row r="9" spans="1:14">
      <c r="A9" s="2">
        <v>44141</v>
      </c>
      <c r="B9" t="s">
        <v>24</v>
      </c>
      <c r="C9" t="s">
        <v>15</v>
      </c>
      <c r="D9" t="s">
        <v>10</v>
      </c>
      <c r="E9" s="3">
        <v>146</v>
      </c>
      <c r="F9" s="4">
        <f t="shared" si="0"/>
        <v>6000</v>
      </c>
      <c r="G9" s="4">
        <f t="shared" si="1"/>
        <v>4000</v>
      </c>
      <c r="H9" s="4">
        <f t="shared" si="2"/>
        <v>876000</v>
      </c>
      <c r="I9" s="5">
        <f t="shared" si="3"/>
        <v>292000</v>
      </c>
    </row>
    <row r="10" spans="1:14">
      <c r="A10" s="2">
        <v>44223</v>
      </c>
      <c r="B10" t="s">
        <v>25</v>
      </c>
      <c r="C10" t="s">
        <v>9</v>
      </c>
      <c r="D10" t="s">
        <v>26</v>
      </c>
      <c r="E10" s="3">
        <v>101</v>
      </c>
      <c r="F10" s="4">
        <f t="shared" si="0"/>
        <v>600</v>
      </c>
      <c r="G10" s="4">
        <f t="shared" si="1"/>
        <v>400</v>
      </c>
      <c r="H10" s="4">
        <f t="shared" si="2"/>
        <v>60600</v>
      </c>
      <c r="I10" s="5">
        <f t="shared" si="3"/>
        <v>20200</v>
      </c>
    </row>
    <row r="11" spans="1:14">
      <c r="A11" s="2">
        <v>44442</v>
      </c>
      <c r="B11" t="s">
        <v>27</v>
      </c>
      <c r="C11" t="s">
        <v>15</v>
      </c>
      <c r="D11" t="s">
        <v>10</v>
      </c>
      <c r="E11" s="3">
        <v>52</v>
      </c>
      <c r="F11" s="4">
        <f t="shared" si="0"/>
        <v>6000</v>
      </c>
      <c r="G11" s="4">
        <f t="shared" si="1"/>
        <v>4000</v>
      </c>
      <c r="H11" s="4">
        <f t="shared" si="2"/>
        <v>312000</v>
      </c>
      <c r="I11" s="5">
        <f t="shared" si="3"/>
        <v>104000</v>
      </c>
    </row>
    <row r="12" spans="1:14">
      <c r="A12" s="2">
        <v>44469</v>
      </c>
      <c r="B12" t="s">
        <v>27</v>
      </c>
      <c r="C12" t="s">
        <v>12</v>
      </c>
      <c r="D12" t="s">
        <v>16</v>
      </c>
      <c r="E12" s="3">
        <v>55</v>
      </c>
      <c r="F12" s="4">
        <f t="shared" si="0"/>
        <v>1200</v>
      </c>
      <c r="G12" s="4">
        <f t="shared" si="1"/>
        <v>800</v>
      </c>
      <c r="H12" s="4">
        <f t="shared" si="2"/>
        <v>66000</v>
      </c>
      <c r="I12" s="5">
        <f t="shared" si="3"/>
        <v>22000</v>
      </c>
    </row>
    <row r="13" spans="1:14">
      <c r="A13" s="2">
        <v>44084</v>
      </c>
      <c r="B13" t="s">
        <v>27</v>
      </c>
      <c r="C13" t="s">
        <v>15</v>
      </c>
      <c r="D13" t="s">
        <v>19</v>
      </c>
      <c r="E13" s="3">
        <v>137</v>
      </c>
      <c r="F13" s="4">
        <f t="shared" si="0"/>
        <v>1000</v>
      </c>
      <c r="G13" s="4">
        <f t="shared" si="1"/>
        <v>700</v>
      </c>
      <c r="H13" s="4">
        <f t="shared" si="2"/>
        <v>137000</v>
      </c>
      <c r="I13" s="5">
        <f t="shared" si="3"/>
        <v>41100</v>
      </c>
    </row>
    <row r="14" spans="1:14">
      <c r="A14" s="2">
        <v>44404</v>
      </c>
      <c r="B14" t="s">
        <v>24</v>
      </c>
      <c r="C14" t="s">
        <v>15</v>
      </c>
      <c r="D14" t="s">
        <v>13</v>
      </c>
      <c r="E14" s="3">
        <v>96</v>
      </c>
      <c r="F14" s="4">
        <f t="shared" si="0"/>
        <v>3500</v>
      </c>
      <c r="G14" s="4">
        <f t="shared" si="1"/>
        <v>2500</v>
      </c>
      <c r="H14" s="4">
        <f t="shared" si="2"/>
        <v>336000</v>
      </c>
      <c r="I14" s="5">
        <f t="shared" si="3"/>
        <v>96000</v>
      </c>
    </row>
    <row r="15" spans="1:14">
      <c r="A15" s="2">
        <v>44113</v>
      </c>
      <c r="B15" t="s">
        <v>25</v>
      </c>
      <c r="C15" t="s">
        <v>12</v>
      </c>
      <c r="D15" t="s">
        <v>21</v>
      </c>
      <c r="E15" s="3">
        <v>52</v>
      </c>
      <c r="F15" s="4">
        <f t="shared" si="0"/>
        <v>4000</v>
      </c>
      <c r="G15" s="4">
        <f t="shared" si="1"/>
        <v>3000</v>
      </c>
      <c r="H15" s="4">
        <f t="shared" si="2"/>
        <v>208000</v>
      </c>
      <c r="I15" s="5">
        <f t="shared" si="3"/>
        <v>52000</v>
      </c>
    </row>
    <row r="16" spans="1:14">
      <c r="A16" s="2">
        <v>44292</v>
      </c>
      <c r="B16" t="s">
        <v>17</v>
      </c>
      <c r="C16" t="s">
        <v>9</v>
      </c>
      <c r="D16" t="s">
        <v>13</v>
      </c>
      <c r="E16" s="3">
        <v>76</v>
      </c>
      <c r="F16" s="4">
        <f t="shared" si="0"/>
        <v>3500</v>
      </c>
      <c r="G16" s="4">
        <f t="shared" si="1"/>
        <v>2500</v>
      </c>
      <c r="H16" s="4">
        <f t="shared" si="2"/>
        <v>266000</v>
      </c>
      <c r="I16" s="5">
        <f t="shared" si="3"/>
        <v>76000</v>
      </c>
    </row>
    <row r="17" spans="1:9">
      <c r="A17" s="2">
        <v>44362</v>
      </c>
      <c r="B17" t="s">
        <v>11</v>
      </c>
      <c r="C17" t="s">
        <v>18</v>
      </c>
      <c r="D17" t="s">
        <v>21</v>
      </c>
      <c r="E17" s="3">
        <v>145</v>
      </c>
      <c r="F17" s="4">
        <f t="shared" si="0"/>
        <v>4000</v>
      </c>
      <c r="G17" s="4">
        <f t="shared" si="1"/>
        <v>3000</v>
      </c>
      <c r="H17" s="4">
        <f t="shared" si="2"/>
        <v>580000</v>
      </c>
      <c r="I17" s="5">
        <f t="shared" si="3"/>
        <v>145000</v>
      </c>
    </row>
    <row r="18" spans="1:9">
      <c r="A18" s="2">
        <v>44083</v>
      </c>
      <c r="B18" t="s">
        <v>8</v>
      </c>
      <c r="C18" t="s">
        <v>15</v>
      </c>
      <c r="D18" t="s">
        <v>26</v>
      </c>
      <c r="E18" s="3">
        <v>83</v>
      </c>
      <c r="F18" s="4">
        <f t="shared" si="0"/>
        <v>600</v>
      </c>
      <c r="G18" s="4">
        <f t="shared" si="1"/>
        <v>400</v>
      </c>
      <c r="H18" s="4">
        <f t="shared" si="2"/>
        <v>49800</v>
      </c>
      <c r="I18" s="5">
        <f t="shared" si="3"/>
        <v>16600</v>
      </c>
    </row>
    <row r="19" spans="1:9">
      <c r="A19" s="2">
        <v>44421</v>
      </c>
      <c r="B19" t="s">
        <v>20</v>
      </c>
      <c r="C19" t="s">
        <v>15</v>
      </c>
      <c r="D19" t="s">
        <v>19</v>
      </c>
      <c r="E19" s="3">
        <v>91</v>
      </c>
      <c r="F19" s="4">
        <f t="shared" si="0"/>
        <v>1000</v>
      </c>
      <c r="G19" s="4">
        <f t="shared" si="1"/>
        <v>700</v>
      </c>
      <c r="H19" s="4">
        <f t="shared" si="2"/>
        <v>91000</v>
      </c>
      <c r="I19" s="5">
        <f t="shared" si="3"/>
        <v>27300</v>
      </c>
    </row>
    <row r="20" spans="1:9">
      <c r="A20" s="2">
        <v>44070</v>
      </c>
      <c r="B20" t="s">
        <v>22</v>
      </c>
      <c r="C20" t="s">
        <v>9</v>
      </c>
      <c r="D20" t="s">
        <v>28</v>
      </c>
      <c r="E20" s="3">
        <v>108</v>
      </c>
      <c r="F20" s="4">
        <f t="shared" si="0"/>
        <v>10000</v>
      </c>
      <c r="G20" s="4">
        <f t="shared" si="1"/>
        <v>7000</v>
      </c>
      <c r="H20" s="4">
        <f t="shared" si="2"/>
        <v>1080000</v>
      </c>
      <c r="I20" s="5">
        <f t="shared" si="3"/>
        <v>324000</v>
      </c>
    </row>
    <row r="21" spans="1:9">
      <c r="A21" s="2">
        <v>44293</v>
      </c>
      <c r="B21" t="s">
        <v>14</v>
      </c>
      <c r="C21" t="s">
        <v>18</v>
      </c>
      <c r="D21" t="s">
        <v>21</v>
      </c>
      <c r="E21" s="3">
        <v>144</v>
      </c>
      <c r="F21" s="4">
        <f t="shared" si="0"/>
        <v>4000</v>
      </c>
      <c r="G21" s="4">
        <f t="shared" si="1"/>
        <v>3000</v>
      </c>
      <c r="H21" s="4">
        <f t="shared" si="2"/>
        <v>576000</v>
      </c>
      <c r="I21" s="5">
        <f t="shared" si="3"/>
        <v>144000</v>
      </c>
    </row>
    <row r="22" spans="1:9">
      <c r="A22" s="2">
        <v>43990</v>
      </c>
      <c r="B22" t="s">
        <v>20</v>
      </c>
      <c r="C22" t="s">
        <v>15</v>
      </c>
      <c r="D22" t="s">
        <v>26</v>
      </c>
      <c r="E22" s="3">
        <v>92</v>
      </c>
      <c r="F22" s="4">
        <f t="shared" si="0"/>
        <v>600</v>
      </c>
      <c r="G22" s="4">
        <f t="shared" si="1"/>
        <v>400</v>
      </c>
      <c r="H22" s="4">
        <f t="shared" si="2"/>
        <v>55200</v>
      </c>
      <c r="I22" s="5">
        <f t="shared" si="3"/>
        <v>18400</v>
      </c>
    </row>
    <row r="23" spans="1:9">
      <c r="A23" s="2">
        <v>44551</v>
      </c>
      <c r="B23" t="s">
        <v>24</v>
      </c>
      <c r="C23" t="s">
        <v>9</v>
      </c>
      <c r="D23" t="s">
        <v>10</v>
      </c>
      <c r="E23" s="3">
        <v>71</v>
      </c>
      <c r="F23" s="4">
        <f t="shared" si="0"/>
        <v>6000</v>
      </c>
      <c r="G23" s="4">
        <f t="shared" si="1"/>
        <v>4000</v>
      </c>
      <c r="H23" s="4">
        <f t="shared" si="2"/>
        <v>426000</v>
      </c>
      <c r="I23" s="5">
        <f t="shared" si="3"/>
        <v>142000</v>
      </c>
    </row>
    <row r="24" spans="1:9">
      <c r="A24" s="2">
        <v>44418</v>
      </c>
      <c r="B24" t="s">
        <v>8</v>
      </c>
      <c r="C24" t="s">
        <v>12</v>
      </c>
      <c r="D24" t="s">
        <v>26</v>
      </c>
      <c r="E24" s="3">
        <v>103</v>
      </c>
      <c r="F24" s="4">
        <f t="shared" si="0"/>
        <v>600</v>
      </c>
      <c r="G24" s="4">
        <f t="shared" si="1"/>
        <v>400</v>
      </c>
      <c r="H24" s="4">
        <f t="shared" si="2"/>
        <v>61800</v>
      </c>
      <c r="I24" s="5">
        <f t="shared" si="3"/>
        <v>20600</v>
      </c>
    </row>
    <row r="25" spans="1:9">
      <c r="A25" s="2">
        <v>44532</v>
      </c>
      <c r="B25" t="s">
        <v>27</v>
      </c>
      <c r="C25" t="s">
        <v>18</v>
      </c>
      <c r="D25" t="s">
        <v>19</v>
      </c>
      <c r="E25" s="3">
        <v>55</v>
      </c>
      <c r="F25" s="4">
        <f t="shared" si="0"/>
        <v>1000</v>
      </c>
      <c r="G25" s="4">
        <f t="shared" si="1"/>
        <v>700</v>
      </c>
      <c r="H25" s="4">
        <f t="shared" si="2"/>
        <v>55000</v>
      </c>
      <c r="I25" s="5">
        <f t="shared" si="3"/>
        <v>16500</v>
      </c>
    </row>
    <row r="26" spans="1:9">
      <c r="A26" s="2">
        <v>44438</v>
      </c>
      <c r="B26" t="s">
        <v>22</v>
      </c>
      <c r="C26" t="s">
        <v>12</v>
      </c>
      <c r="D26" t="s">
        <v>21</v>
      </c>
      <c r="E26" s="3">
        <v>93</v>
      </c>
      <c r="F26" s="4">
        <f t="shared" si="0"/>
        <v>4000</v>
      </c>
      <c r="G26" s="4">
        <f t="shared" si="1"/>
        <v>3000</v>
      </c>
      <c r="H26" s="4">
        <f t="shared" si="2"/>
        <v>372000</v>
      </c>
      <c r="I26" s="5">
        <f t="shared" si="3"/>
        <v>93000</v>
      </c>
    </row>
    <row r="27" spans="1:9">
      <c r="A27" s="2">
        <v>43971</v>
      </c>
      <c r="B27" t="s">
        <v>14</v>
      </c>
      <c r="C27" t="s">
        <v>15</v>
      </c>
      <c r="D27" t="s">
        <v>26</v>
      </c>
      <c r="E27" s="3">
        <v>143</v>
      </c>
      <c r="F27" s="4">
        <f t="shared" si="0"/>
        <v>600</v>
      </c>
      <c r="G27" s="4">
        <f t="shared" si="1"/>
        <v>400</v>
      </c>
      <c r="H27" s="4">
        <f t="shared" si="2"/>
        <v>85800</v>
      </c>
      <c r="I27" s="5">
        <f t="shared" si="3"/>
        <v>28600</v>
      </c>
    </row>
    <row r="28" spans="1:9">
      <c r="A28" s="2">
        <v>44452</v>
      </c>
      <c r="B28" t="s">
        <v>23</v>
      </c>
      <c r="C28" t="s">
        <v>9</v>
      </c>
      <c r="D28" t="s">
        <v>13</v>
      </c>
      <c r="E28" s="3">
        <v>143</v>
      </c>
      <c r="F28" s="4">
        <f t="shared" si="0"/>
        <v>3500</v>
      </c>
      <c r="G28" s="4">
        <f t="shared" si="1"/>
        <v>2500</v>
      </c>
      <c r="H28" s="4">
        <f t="shared" si="2"/>
        <v>500500</v>
      </c>
      <c r="I28" s="5">
        <f t="shared" si="3"/>
        <v>143000</v>
      </c>
    </row>
    <row r="29" spans="1:9">
      <c r="A29" s="2">
        <v>44496</v>
      </c>
      <c r="B29" t="s">
        <v>25</v>
      </c>
      <c r="C29" t="s">
        <v>18</v>
      </c>
      <c r="D29" t="s">
        <v>26</v>
      </c>
      <c r="E29" s="3">
        <v>99</v>
      </c>
      <c r="F29" s="4">
        <f t="shared" si="0"/>
        <v>600</v>
      </c>
      <c r="G29" s="4">
        <f t="shared" si="1"/>
        <v>400</v>
      </c>
      <c r="H29" s="4">
        <f t="shared" si="2"/>
        <v>59400</v>
      </c>
      <c r="I29" s="5">
        <f t="shared" si="3"/>
        <v>19800</v>
      </c>
    </row>
    <row r="30" spans="1:9">
      <c r="A30" s="2">
        <v>44187</v>
      </c>
      <c r="B30" t="s">
        <v>17</v>
      </c>
      <c r="C30" t="s">
        <v>9</v>
      </c>
      <c r="D30" t="s">
        <v>19</v>
      </c>
      <c r="E30" s="3">
        <v>120</v>
      </c>
      <c r="F30" s="4">
        <f t="shared" si="0"/>
        <v>1000</v>
      </c>
      <c r="G30" s="4">
        <f t="shared" si="1"/>
        <v>700</v>
      </c>
      <c r="H30" s="4">
        <f t="shared" si="2"/>
        <v>120000</v>
      </c>
      <c r="I30" s="5">
        <f t="shared" si="3"/>
        <v>36000</v>
      </c>
    </row>
    <row r="31" spans="1:9">
      <c r="A31" s="2">
        <v>44405</v>
      </c>
      <c r="B31" t="s">
        <v>11</v>
      </c>
      <c r="C31" t="s">
        <v>15</v>
      </c>
      <c r="D31" t="s">
        <v>13</v>
      </c>
      <c r="E31" s="3">
        <v>66</v>
      </c>
      <c r="F31" s="4">
        <f t="shared" si="0"/>
        <v>3500</v>
      </c>
      <c r="G31" s="4">
        <f t="shared" si="1"/>
        <v>2500</v>
      </c>
      <c r="H31" s="4">
        <f t="shared" si="2"/>
        <v>231000</v>
      </c>
      <c r="I31" s="5">
        <f t="shared" si="3"/>
        <v>66000</v>
      </c>
    </row>
    <row r="32" spans="1:9">
      <c r="A32" s="2">
        <v>44103</v>
      </c>
      <c r="B32" t="s">
        <v>25</v>
      </c>
      <c r="C32" t="s">
        <v>18</v>
      </c>
      <c r="D32" t="s">
        <v>16</v>
      </c>
      <c r="E32" s="3">
        <v>88</v>
      </c>
      <c r="F32" s="4">
        <f t="shared" si="0"/>
        <v>1200</v>
      </c>
      <c r="G32" s="4">
        <f t="shared" si="1"/>
        <v>800</v>
      </c>
      <c r="H32" s="4">
        <f t="shared" si="2"/>
        <v>105600</v>
      </c>
      <c r="I32" s="5">
        <f t="shared" si="3"/>
        <v>35200</v>
      </c>
    </row>
    <row r="33" spans="1:9">
      <c r="A33" s="2">
        <v>44126</v>
      </c>
      <c r="B33" t="s">
        <v>17</v>
      </c>
      <c r="C33" t="s">
        <v>12</v>
      </c>
      <c r="D33" t="s">
        <v>28</v>
      </c>
      <c r="E33" s="3">
        <v>127</v>
      </c>
      <c r="F33" s="4">
        <f t="shared" si="0"/>
        <v>10000</v>
      </c>
      <c r="G33" s="4">
        <f t="shared" si="1"/>
        <v>7000</v>
      </c>
      <c r="H33" s="4">
        <f t="shared" si="2"/>
        <v>1270000</v>
      </c>
      <c r="I33" s="5">
        <f t="shared" si="3"/>
        <v>381000</v>
      </c>
    </row>
    <row r="34" spans="1:9">
      <c r="A34" s="2">
        <v>43970</v>
      </c>
      <c r="B34" t="s">
        <v>20</v>
      </c>
      <c r="C34" t="s">
        <v>9</v>
      </c>
      <c r="D34" t="s">
        <v>21</v>
      </c>
      <c r="E34" s="3">
        <v>67</v>
      </c>
      <c r="F34" s="4">
        <f t="shared" si="0"/>
        <v>4000</v>
      </c>
      <c r="G34" s="4">
        <f t="shared" si="1"/>
        <v>3000</v>
      </c>
      <c r="H34" s="4">
        <f t="shared" si="2"/>
        <v>268000</v>
      </c>
      <c r="I34" s="5">
        <f t="shared" si="3"/>
        <v>67000</v>
      </c>
    </row>
    <row r="35" spans="1:9">
      <c r="A35" s="2">
        <v>44536</v>
      </c>
      <c r="B35" t="s">
        <v>11</v>
      </c>
      <c r="C35" t="s">
        <v>12</v>
      </c>
      <c r="D35" t="s">
        <v>16</v>
      </c>
      <c r="E35" s="3">
        <v>67</v>
      </c>
      <c r="F35" s="4">
        <f t="shared" si="0"/>
        <v>1200</v>
      </c>
      <c r="G35" s="4">
        <f t="shared" si="1"/>
        <v>800</v>
      </c>
      <c r="H35" s="4">
        <f t="shared" si="2"/>
        <v>80400</v>
      </c>
      <c r="I35" s="5">
        <f t="shared" si="3"/>
        <v>26800</v>
      </c>
    </row>
    <row r="36" spans="1:9">
      <c r="A36" s="2">
        <v>44069</v>
      </c>
      <c r="B36" t="s">
        <v>27</v>
      </c>
      <c r="C36" t="s">
        <v>15</v>
      </c>
      <c r="D36" t="s">
        <v>19</v>
      </c>
      <c r="E36" s="3">
        <v>149</v>
      </c>
      <c r="F36" s="4">
        <f t="shared" si="0"/>
        <v>1000</v>
      </c>
      <c r="G36" s="4">
        <f t="shared" si="1"/>
        <v>700</v>
      </c>
      <c r="H36" s="4">
        <f t="shared" si="2"/>
        <v>149000</v>
      </c>
      <c r="I36" s="5">
        <f t="shared" si="3"/>
        <v>44700</v>
      </c>
    </row>
    <row r="37" spans="1:9">
      <c r="A37" s="2">
        <v>44378</v>
      </c>
      <c r="B37" t="s">
        <v>20</v>
      </c>
      <c r="C37" t="s">
        <v>18</v>
      </c>
      <c r="D37" t="s">
        <v>26</v>
      </c>
      <c r="E37" s="3">
        <v>104</v>
      </c>
      <c r="F37" s="4">
        <f t="shared" si="0"/>
        <v>600</v>
      </c>
      <c r="G37" s="4">
        <f t="shared" si="1"/>
        <v>400</v>
      </c>
      <c r="H37" s="4">
        <f t="shared" si="2"/>
        <v>62400</v>
      </c>
      <c r="I37" s="5">
        <f t="shared" si="3"/>
        <v>20800</v>
      </c>
    </row>
    <row r="38" spans="1:9">
      <c r="A38" s="2">
        <v>44404</v>
      </c>
      <c r="B38" t="s">
        <v>24</v>
      </c>
      <c r="C38" t="s">
        <v>9</v>
      </c>
      <c r="D38" t="s">
        <v>26</v>
      </c>
      <c r="E38" s="3">
        <v>57</v>
      </c>
      <c r="F38" s="4">
        <f t="shared" si="0"/>
        <v>600</v>
      </c>
      <c r="G38" s="4">
        <f t="shared" si="1"/>
        <v>400</v>
      </c>
      <c r="H38" s="4">
        <f t="shared" si="2"/>
        <v>34200</v>
      </c>
      <c r="I38" s="5">
        <f t="shared" si="3"/>
        <v>11400</v>
      </c>
    </row>
    <row r="39" spans="1:9">
      <c r="A39" s="2">
        <v>44109</v>
      </c>
      <c r="B39" t="s">
        <v>14</v>
      </c>
      <c r="C39" t="s">
        <v>12</v>
      </c>
      <c r="D39" t="s">
        <v>26</v>
      </c>
      <c r="E39" s="3">
        <v>90</v>
      </c>
      <c r="F39" s="4">
        <f t="shared" si="0"/>
        <v>600</v>
      </c>
      <c r="G39" s="4">
        <f t="shared" si="1"/>
        <v>400</v>
      </c>
      <c r="H39" s="4">
        <f t="shared" si="2"/>
        <v>54000</v>
      </c>
      <c r="I39" s="5">
        <f t="shared" si="3"/>
        <v>18000</v>
      </c>
    </row>
    <row r="40" spans="1:9">
      <c r="A40" s="2">
        <v>44076</v>
      </c>
      <c r="B40" t="s">
        <v>22</v>
      </c>
      <c r="C40" t="s">
        <v>15</v>
      </c>
      <c r="D40" t="s">
        <v>26</v>
      </c>
      <c r="E40" s="3">
        <v>67</v>
      </c>
      <c r="F40" s="4">
        <f t="shared" si="0"/>
        <v>600</v>
      </c>
      <c r="G40" s="4">
        <f t="shared" si="1"/>
        <v>400</v>
      </c>
      <c r="H40" s="4">
        <f t="shared" si="2"/>
        <v>40200</v>
      </c>
      <c r="I40" s="5">
        <f t="shared" si="3"/>
        <v>13400</v>
      </c>
    </row>
    <row r="41" spans="1:9">
      <c r="A41" s="2">
        <v>44441</v>
      </c>
      <c r="B41" t="s">
        <v>8</v>
      </c>
      <c r="C41" t="s">
        <v>18</v>
      </c>
      <c r="D41" t="s">
        <v>21</v>
      </c>
      <c r="E41" s="3">
        <v>127</v>
      </c>
      <c r="F41" s="4">
        <f t="shared" si="0"/>
        <v>4000</v>
      </c>
      <c r="G41" s="4">
        <f t="shared" si="1"/>
        <v>3000</v>
      </c>
      <c r="H41" s="4">
        <f t="shared" si="2"/>
        <v>508000</v>
      </c>
      <c r="I41" s="5">
        <f t="shared" si="3"/>
        <v>127000</v>
      </c>
    </row>
    <row r="42" spans="1:9">
      <c r="A42" s="2">
        <v>44299</v>
      </c>
      <c r="B42" t="s">
        <v>22</v>
      </c>
      <c r="C42" t="s">
        <v>9</v>
      </c>
      <c r="D42" t="s">
        <v>19</v>
      </c>
      <c r="E42" s="3">
        <v>108</v>
      </c>
      <c r="F42" s="4">
        <f t="shared" si="0"/>
        <v>1000</v>
      </c>
      <c r="G42" s="4">
        <f t="shared" si="1"/>
        <v>700</v>
      </c>
      <c r="H42" s="4">
        <f t="shared" si="2"/>
        <v>108000</v>
      </c>
      <c r="I42" s="5">
        <f t="shared" si="3"/>
        <v>32400</v>
      </c>
    </row>
    <row r="43" spans="1:9">
      <c r="A43" s="2">
        <v>44322</v>
      </c>
      <c r="B43" t="s">
        <v>14</v>
      </c>
      <c r="C43" t="s">
        <v>12</v>
      </c>
      <c r="D43" t="s">
        <v>13</v>
      </c>
      <c r="E43" s="3">
        <v>66</v>
      </c>
      <c r="F43" s="4">
        <f t="shared" si="0"/>
        <v>3500</v>
      </c>
      <c r="G43" s="4">
        <f t="shared" si="1"/>
        <v>2500</v>
      </c>
      <c r="H43" s="4">
        <f t="shared" si="2"/>
        <v>231000</v>
      </c>
      <c r="I43" s="5">
        <f t="shared" si="3"/>
        <v>66000</v>
      </c>
    </row>
    <row r="44" spans="1:9">
      <c r="A44" s="2">
        <v>44211</v>
      </c>
      <c r="B44" t="s">
        <v>8</v>
      </c>
      <c r="C44" t="s">
        <v>18</v>
      </c>
      <c r="D44" t="s">
        <v>10</v>
      </c>
      <c r="E44" s="3">
        <v>78</v>
      </c>
      <c r="F44" s="4">
        <f t="shared" si="0"/>
        <v>6000</v>
      </c>
      <c r="G44" s="4">
        <f t="shared" si="1"/>
        <v>4000</v>
      </c>
      <c r="H44" s="4">
        <f t="shared" si="2"/>
        <v>468000</v>
      </c>
      <c r="I44" s="5">
        <f t="shared" si="3"/>
        <v>156000</v>
      </c>
    </row>
    <row r="45" spans="1:9">
      <c r="A45" s="2">
        <v>44070</v>
      </c>
      <c r="B45" t="s">
        <v>24</v>
      </c>
      <c r="C45" t="s">
        <v>15</v>
      </c>
      <c r="D45" t="s">
        <v>19</v>
      </c>
      <c r="E45" s="3">
        <v>69</v>
      </c>
      <c r="F45" s="4">
        <f t="shared" si="0"/>
        <v>1000</v>
      </c>
      <c r="G45" s="4">
        <f t="shared" si="1"/>
        <v>700</v>
      </c>
      <c r="H45" s="4">
        <f t="shared" si="2"/>
        <v>69000</v>
      </c>
      <c r="I45" s="5">
        <f t="shared" si="3"/>
        <v>20700</v>
      </c>
    </row>
    <row r="46" spans="1:9">
      <c r="A46" s="2">
        <v>44232</v>
      </c>
      <c r="B46" t="s">
        <v>20</v>
      </c>
      <c r="C46" t="s">
        <v>9</v>
      </c>
      <c r="D46" t="s">
        <v>16</v>
      </c>
      <c r="E46" s="3">
        <v>59</v>
      </c>
      <c r="F46" s="4">
        <f t="shared" si="0"/>
        <v>1200</v>
      </c>
      <c r="G46" s="4">
        <f t="shared" si="1"/>
        <v>800</v>
      </c>
      <c r="H46" s="4">
        <f t="shared" si="2"/>
        <v>70800</v>
      </c>
      <c r="I46" s="5">
        <f t="shared" si="3"/>
        <v>23600</v>
      </c>
    </row>
    <row r="47" spans="1:9">
      <c r="A47" s="2">
        <v>44517</v>
      </c>
      <c r="B47" t="s">
        <v>27</v>
      </c>
      <c r="C47" t="s">
        <v>15</v>
      </c>
      <c r="D47" t="s">
        <v>26</v>
      </c>
      <c r="E47" s="3">
        <v>109</v>
      </c>
      <c r="F47" s="4">
        <f t="shared" si="0"/>
        <v>600</v>
      </c>
      <c r="G47" s="4">
        <f t="shared" si="1"/>
        <v>400</v>
      </c>
      <c r="H47" s="4">
        <f t="shared" si="2"/>
        <v>65400</v>
      </c>
      <c r="I47" s="5">
        <f t="shared" si="3"/>
        <v>21800</v>
      </c>
    </row>
    <row r="48" spans="1:9">
      <c r="A48" s="2">
        <v>44193</v>
      </c>
      <c r="B48" t="s">
        <v>25</v>
      </c>
      <c r="C48" t="s">
        <v>12</v>
      </c>
      <c r="D48" t="s">
        <v>21</v>
      </c>
      <c r="E48" s="3">
        <v>61</v>
      </c>
      <c r="F48" s="4">
        <f t="shared" si="0"/>
        <v>4000</v>
      </c>
      <c r="G48" s="4">
        <f t="shared" si="1"/>
        <v>3000</v>
      </c>
      <c r="H48" s="4">
        <f t="shared" si="2"/>
        <v>244000</v>
      </c>
      <c r="I48" s="5">
        <f t="shared" si="3"/>
        <v>61000</v>
      </c>
    </row>
    <row r="49" spans="1:9">
      <c r="A49" s="2">
        <v>44496</v>
      </c>
      <c r="B49" t="s">
        <v>20</v>
      </c>
      <c r="C49" t="s">
        <v>18</v>
      </c>
      <c r="D49" t="s">
        <v>26</v>
      </c>
      <c r="E49" s="3">
        <v>130</v>
      </c>
      <c r="F49" s="4">
        <f t="shared" si="0"/>
        <v>600</v>
      </c>
      <c r="G49" s="4">
        <f t="shared" si="1"/>
        <v>400</v>
      </c>
      <c r="H49" s="4">
        <f t="shared" si="2"/>
        <v>78000</v>
      </c>
      <c r="I49" s="5">
        <f t="shared" si="3"/>
        <v>26000</v>
      </c>
    </row>
    <row r="50" spans="1:9">
      <c r="A50" s="2">
        <v>44502</v>
      </c>
      <c r="B50" t="s">
        <v>17</v>
      </c>
      <c r="C50" t="s">
        <v>15</v>
      </c>
      <c r="D50" t="s">
        <v>13</v>
      </c>
      <c r="E50" s="3">
        <v>60</v>
      </c>
      <c r="F50" s="4">
        <f t="shared" si="0"/>
        <v>3500</v>
      </c>
      <c r="G50" s="4">
        <f t="shared" si="1"/>
        <v>2500</v>
      </c>
      <c r="H50" s="4">
        <f t="shared" si="2"/>
        <v>210000</v>
      </c>
      <c r="I50" s="5">
        <f t="shared" si="3"/>
        <v>60000</v>
      </c>
    </row>
    <row r="51" spans="1:9">
      <c r="A51" s="2">
        <v>43958</v>
      </c>
      <c r="B51" t="s">
        <v>11</v>
      </c>
      <c r="C51" t="s">
        <v>12</v>
      </c>
      <c r="D51" t="s">
        <v>10</v>
      </c>
      <c r="E51" s="3">
        <v>73</v>
      </c>
      <c r="F51" s="4">
        <f t="shared" si="0"/>
        <v>6000</v>
      </c>
      <c r="G51" s="4">
        <f t="shared" si="1"/>
        <v>4000</v>
      </c>
      <c r="H51" s="4">
        <f t="shared" si="2"/>
        <v>438000</v>
      </c>
      <c r="I51" s="5">
        <f t="shared" si="3"/>
        <v>146000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 Table</vt:lpstr>
      <vt:lpstr>Dashboard</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Merjo Love</cp:lastModifiedBy>
  <dcterms:created xsi:type="dcterms:W3CDTF">2024-05-30T14:35:02Z</dcterms:created>
  <dcterms:modified xsi:type="dcterms:W3CDTF">2026-03-10T13:15:23Z</dcterms:modified>
</cp:coreProperties>
</file>